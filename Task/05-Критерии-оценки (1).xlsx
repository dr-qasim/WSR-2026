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krivonosova.nv\Desktop\ИМЭЧ_Екат_ПРдБ_2026\ИМЭЧ_ПРдБ_2026\"/>
    </mc:Choice>
  </mc:AlternateContent>
  <xr:revisionPtr revIDLastSave="0" documentId="13_ncr:1_{C51B626E-2A89-462C-A560-91AB9ADB6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ритерии оценки" sheetId="1" r:id="rId1"/>
    <sheet name="Лист2" sheetId="4" r:id="rId2"/>
    <sheet name="Перечень профессиональных задач" sheetId="2" r:id="rId3"/>
  </sheets>
  <definedNames>
    <definedName name="_1livtg6qggri" localSheetId="0">'Критерии оценки'!$A$102</definedName>
    <definedName name="_27tkfxbkcv55" localSheetId="0">'Критерии оценки'!$A$319</definedName>
    <definedName name="_2bq3ttlknrz6" localSheetId="0">'Критерии оценки'!$A$191</definedName>
    <definedName name="_3v0ufveuzorm" localSheetId="0">'Критерии оценки'!$A$310</definedName>
    <definedName name="_4vee4zjgmgv1" localSheetId="0">'Критерии оценки'!$A$300</definedName>
    <definedName name="_6hd82t4wjzkt" localSheetId="0">'Критерии оценки'!#REF!</definedName>
    <definedName name="_7rslhrryyt06" localSheetId="0">'Критерии оценки'!$A$282</definedName>
    <definedName name="_89mx119h3rng" localSheetId="0">'Критерии оценки'!$A$266</definedName>
    <definedName name="_8zue4x2ncv59" localSheetId="0">'Критерии оценки'!$A$80</definedName>
    <definedName name="_9r3dh0tqvnny" localSheetId="0">'Критерии оценки'!$A$177</definedName>
    <definedName name="_asusgf1xjee3" localSheetId="0">'Критерии оценки'!$A$157</definedName>
    <definedName name="_azvco86an92c" localSheetId="0">'Критерии оценки'!$A$180</definedName>
    <definedName name="_bxq1pqgite3f" localSheetId="0">'Критерии оценки'!$A$172</definedName>
    <definedName name="_diwb194xsx7p" localSheetId="0">'Критерии оценки'!$A$256</definedName>
    <definedName name="_fjksklds0av7" localSheetId="0">'Критерии оценки'!$A$270</definedName>
    <definedName name="_h6d2rntjccnf" localSheetId="0">'Критерии оценки'!$A$169</definedName>
    <definedName name="_hbh1n7pi4ddo" localSheetId="0">'Критерии оценки'!$A$216</definedName>
    <definedName name="_ho9d0cgr2dnv" localSheetId="0">'Критерии оценки'!#REF!</definedName>
    <definedName name="_k2sm3mz5y5h" localSheetId="0">'Критерии оценки'!$A$214</definedName>
    <definedName name="_kyeh999nsh04" localSheetId="0">'Критерии оценки'!$A$272</definedName>
    <definedName name="_qi1d8w5gw9" localSheetId="0">'Критерии оценки'!$A$243</definedName>
    <definedName name="_qwim4dh4azp5" localSheetId="0">'Критерии оценки'!$A$173</definedName>
    <definedName name="_upv8nqeyfd6t" localSheetId="0">'Критерии оценки'!$A$82</definedName>
    <definedName name="_w06yohdrsak8" localSheetId="0">'Критерии оценки'!$A$292</definedName>
    <definedName name="_wm7qbgeik0zp" localSheetId="0">'Критерии оценки'!#REF!</definedName>
    <definedName name="_wwxgysrghf6b" localSheetId="0">'Критерии оценки'!#REF!</definedName>
    <definedName name="_x05zgbhykyhx" localSheetId="0">'Критерии оценки'!$A$231</definedName>
    <definedName name="_x9q8uxduj91w" localSheetId="0">'Критерии оценки'!$A$245</definedName>
    <definedName name="_xazgulhd8t9x" localSheetId="0">'Критерии оценки'!$A$201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9" i="1" l="1"/>
  <c r="I153" i="1" l="1"/>
  <c r="I45" i="1"/>
  <c r="I6" i="1"/>
  <c r="I170" i="1" l="1"/>
</calcChain>
</file>

<file path=xl/sharedStrings.xml><?xml version="1.0" encoding="utf-8"?>
<sst xmlns="http://schemas.openxmlformats.org/spreadsheetml/2006/main" count="468" uniqueCount="293">
  <si>
    <t>Наименование критерия</t>
  </si>
  <si>
    <t>А</t>
  </si>
  <si>
    <t>Код</t>
  </si>
  <si>
    <t>Тип аспекта</t>
  </si>
  <si>
    <t>Методика проверки аспекта</t>
  </si>
  <si>
    <t>Аспект</t>
  </si>
  <si>
    <t>И</t>
  </si>
  <si>
    <t>С</t>
  </si>
  <si>
    <t>Судейский балл</t>
  </si>
  <si>
    <t>Макс. балл</t>
  </si>
  <si>
    <t>Б</t>
  </si>
  <si>
    <t>В</t>
  </si>
  <si>
    <t>Мероприятие</t>
  </si>
  <si>
    <t>Требование или номинальный размер</t>
  </si>
  <si>
    <t>Наименование компетенции</t>
  </si>
  <si>
    <t>Перечень профессиональных задач</t>
  </si>
  <si>
    <t>Проф. задача</t>
  </si>
  <si>
    <t>Г</t>
  </si>
  <si>
    <t>Итого:</t>
  </si>
  <si>
    <t>Субкритерий</t>
  </si>
  <si>
    <t>Итоговый (межрегиональный) этап чемпионата по профессиональному мастерству "Профессионалы"</t>
  </si>
  <si>
    <t>Программные решения для бизнеса</t>
  </si>
  <si>
    <t>Проектирование программных решений</t>
  </si>
  <si>
    <t>Диаграмма вариантов использования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</si>
  <si>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</si>
  <si>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</si>
  <si>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</si>
  <si>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</si>
  <si>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</si>
  <si>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</si>
  <si>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</si>
  <si>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</si>
  <si>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</si>
  <si>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</si>
  <si>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</si>
  <si>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</si>
  <si>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</si>
  <si>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</si>
  <si>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</si>
  <si>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</si>
  <si>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</si>
  <si>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</si>
  <si>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</si>
  <si>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Диаграмма деятельности</t>
  </si>
  <si>
    <t>Диаграмма классов</t>
  </si>
  <si>
    <t>Граница системы определена корректно</t>
  </si>
  <si>
    <t>"-0,3 за отсутствие границы; -0,15 за некорректное размещение элементов</t>
  </si>
  <si>
    <t>№</t>
  </si>
  <si>
    <t>Критерий</t>
  </si>
  <si>
    <t>Индикатор</t>
  </si>
  <si>
    <t>Аспект оценки</t>
  </si>
  <si>
    <t>Методика оценки (штрафы)</t>
  </si>
  <si>
    <t>Уровень</t>
  </si>
  <si>
    <t>Баллы</t>
  </si>
  <si>
    <t>Основные сущности выделены верно</t>
  </si>
  <si>
    <t>-0,5 за каждую пропущенную сущность; -0,25 за некорректную</t>
  </si>
  <si>
    <t>3</t>
  </si>
  <si>
    <t>Атрибуты классов определены корректно</t>
  </si>
  <si>
    <t>-0,2 за отсутствие ключевого атрибута; -0,1 за ошибочный атрибут</t>
  </si>
  <si>
    <t>2</t>
  </si>
  <si>
    <t>Связи между классами определены корректно</t>
  </si>
  <si>
    <t>-0,3 за отсутствующую связь; -0,2 за неверную</t>
  </si>
  <si>
    <t>Кратности указаны и корректны</t>
  </si>
  <si>
    <t>-0,25 за отсутствие; -0,2 за ошибку</t>
  </si>
  <si>
    <t>Разделение сущностей выполнено</t>
  </si>
  <si>
    <t>-0,5 за отсутствие; -0,25 за частичную реализацию</t>
  </si>
  <si>
    <t>Оформление соответствует UML</t>
  </si>
  <si>
    <t>-0,15 за нарушение; -0,1 за нечитаемость</t>
  </si>
  <si>
    <t>Диаграмма последовательности</t>
  </si>
  <si>
    <t>-0,5 за неполный сценарий; -0,25 за несоответствие</t>
  </si>
  <si>
    <t>Участники взаимодействия определены</t>
  </si>
  <si>
    <t>-0,25 за отсутствующего; -0,15 за лишнего</t>
  </si>
  <si>
    <t>Последовательность сообщений корректна</t>
  </si>
  <si>
    <t>-0,3 за ошибку порядка; -0,2 за пропуск</t>
  </si>
  <si>
    <t>Отражена бизнес-логика</t>
  </si>
  <si>
    <t>Взаимодействие с API и БД отражено</t>
  </si>
  <si>
    <t>Сценарий определен корректно</t>
  </si>
  <si>
    <t>Wireframe мобильного приложения</t>
  </si>
  <si>
    <t>Набор экранов соответствует сценарию</t>
  </si>
  <si>
    <t>-0,5 за отсутствующий экран; -0,25 за лишний</t>
  </si>
  <si>
    <t>Экран авторизации реализован</t>
  </si>
  <si>
    <t>-0,25 за отсутствие элемента; -0,15 за ошибку логики</t>
  </si>
  <si>
    <t>Экран списка объектов реализован</t>
  </si>
  <si>
    <t>-0,3 за отсутствие фильтра; -0,2 за ошибки данных</t>
  </si>
  <si>
    <t>Карточка объекта реализована</t>
  </si>
  <si>
    <t>-0,4 за отсутствие данных; -0,25 за неполноту</t>
  </si>
  <si>
    <t>Экран ввода данных реализован</t>
  </si>
  <si>
    <t>-0,5 за отсутствие полей; -0,25 за отсутствие валидации</t>
  </si>
  <si>
    <t>Навигация между экранами логична</t>
  </si>
  <si>
    <t>-0,3 за разрыв; -0,2 за лишние переходы</t>
  </si>
  <si>
    <t>Интерфейс соответствует мобильному сценарию</t>
  </si>
  <si>
    <t>-0,25 за перегрузку; -0,2 за неудобство</t>
  </si>
  <si>
    <t>Оформление wireframe единообразно</t>
  </si>
  <si>
    <t>-0,15 за несогласованность; -0,1 за читаемость</t>
  </si>
  <si>
    <t>"-0,25 за отсутствие API; -0,2 за отсутствие БД</t>
  </si>
  <si>
    <t>"-0,25 за отсутствие проверок; -0,1 за частичную</t>
  </si>
  <si>
    <t>Культура безопасного труда и бережливое производство</t>
  </si>
  <si>
    <t>Системный анализ и проектирование программных решений</t>
  </si>
  <si>
    <t>Организация работы с данными</t>
  </si>
  <si>
    <t>Разработка программных решений</t>
  </si>
  <si>
    <t>Определение качества программных решений</t>
  </si>
  <si>
    <t>Документирование и презентация программных решений</t>
  </si>
  <si>
    <t>Организация работ в соответствии с отраслевыми стандартами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</si>
  <si>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</si>
  <si>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</si>
  <si>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</si>
  <si>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</si>
  <si>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</si>
  <si>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</si>
  <si>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</si>
  <si>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</si>
  <si>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</si>
  <si>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</si>
  <si>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</si>
  <si>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</si>
  <si>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</si>
  <si>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</si>
  <si>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</si>
  <si>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</si>
  <si>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</si>
  <si>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</si>
  <si>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Ограничения целостности данных</t>
  </si>
  <si>
    <t>Реализовано ограничение 1</t>
  </si>
  <si>
    <t>Реализовано ограничение 2</t>
  </si>
  <si>
    <t>Реализовано ограничение 3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</si>
  <si>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</si>
  <si>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</si>
  <si>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</si>
  <si>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</si>
  <si>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</si>
  <si>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Документирование и оформление решения</t>
  </si>
  <si>
    <t>Профессиональная культура</t>
  </si>
  <si>
    <t>Конкурсант демонстрирует понимание задачи, понимание отраслевых стандартов, дает рекомендации по улучшению системы</t>
  </si>
  <si>
    <t>Демонстрация работы экспертной группе (Сессия 1)</t>
  </si>
  <si>
    <t>Тестирование программных решений</t>
  </si>
  <si>
    <t>Отсутствие аварийных завершений работы программы (стабильность функционирования)</t>
  </si>
  <si>
    <t>Конкурсант запускает программу и выполняет проверочные сценарии: некорректный ввод (буквы в числах, пустые поля, отрицательные значения), нарушение логики (удаление товара из заказа), проблемы с БД (отключение, дублирование ключей), отсутствие файлов (изображений), быстрые нажатия кнопок и крайние значения (цена 0, скидка 100%).
2 б	Программа не падает ни в одном сценарии. Все ошибки обработаны, выводятся понятные сообщения, после ошибки программа продолжает работу.
1,5 б	 Программа не падает в основных сценариях, но в 1-2 сценариях из списка происходит вылет или зависание. Либо ошибки обработаны, но сообщения неинформативны.
1 б	 Программа не падает, но ошибки обрабатываются без сообщений пользователю («молчаливое игнорирование»). Или программа падает в 1 сценарии из основных (авторизация, загрузка товаров).
0,5 б 	 Программа падает в 2-3 сценариях (например, при неверном формате цены и при отсутствии БД). Обработка ошибок отсутствует или минимальна.
0 б	 Программа аварийно завершается при нормальной работе (без провокаций) или падает более чем в 3 сценариях. Зависает на критических операциях.</t>
  </si>
  <si>
    <t>Работа приложения (сессия 1)</t>
  </si>
  <si>
    <t>Работа приложения (сессия 2)</t>
  </si>
  <si>
    <t>Работа приложения (сессия 4)</t>
  </si>
  <si>
    <t>Работа приложения (сессия 3)</t>
  </si>
  <si>
    <t>Разработка API</t>
  </si>
  <si>
    <t>Методы работы со справочниками реализованы</t>
  </si>
  <si>
    <t>Методы работы с рецептурами реализованы</t>
  </si>
  <si>
    <t>Методы работы с технологическими картами реализованы</t>
  </si>
  <si>
    <t>-0,25 за каждую отсутствующую группу; -0,15 за отсутствие CRUD; -0,1 за ошибки маршрутов</t>
  </si>
  <si>
    <t>Методы лаборатории реализованы</t>
  </si>
  <si>
    <t>Использование HTTP-методов корректно</t>
  </si>
  <si>
    <t>-0,2 за неправильный метод; -0,1 за смешение логики</t>
  </si>
  <si>
    <t>Структура ответов API единообразна</t>
  </si>
  <si>
    <t>-0,2 за отсутствие структуры; -0,1 за несогласованность</t>
  </si>
  <si>
    <t>Обработка ошибок реализована</t>
  </si>
  <si>
    <t>-0,25 за отсутствие ошибок; -0,15 за некорректный формат</t>
  </si>
  <si>
    <t>Жизненный цикл продукта реализован</t>
  </si>
  <si>
    <t>-0,5 за отсутствие этапа (продукт → рецептура → техкарта); -0,25 за разрыв логики</t>
  </si>
  <si>
    <t>Связи между сущностями реализованы</t>
  </si>
  <si>
    <t>-0,4 за отсутствие переходов между сущностями; -0,2 за частичную реализацию</t>
  </si>
  <si>
    <t>Работа с API интегрирована во всех разделах</t>
  </si>
  <si>
    <t>-0,3 за отсутствие загрузки данных; -0,2 за частичную интеграцию</t>
  </si>
  <si>
    <t>Отображение ключевых показателей реализовано</t>
  </si>
  <si>
    <t>-0,3 за каждый отсутствующий показатель; -0,2 за некорректные данные</t>
  </si>
  <si>
    <t>Лента событий реализована</t>
  </si>
  <si>
    <t>-0,3 за отсутствие; -0,2 за неполный состав событий</t>
  </si>
  <si>
    <t>Быстрые переходы реализованы</t>
  </si>
  <si>
    <t>-0,25 за отсутствие переходов; -0,15 за некорректную навигацию</t>
  </si>
  <si>
    <t>Список рецептур реализован</t>
  </si>
  <si>
    <t>-0,3 за отсутствие; -0,2 за ошибки</t>
  </si>
  <si>
    <t>Карточка рецептуры реализована</t>
  </si>
  <si>
    <t>-0,4 за отсутствие состава; -0,2 за неполные поля</t>
  </si>
  <si>
    <t>Работа с компонентами реализована</t>
  </si>
  <si>
    <t>-0,4 за отсутствие добавления/удаления; -0,2 за ошибки</t>
  </si>
  <si>
    <t>Версии и статусы реализованы</t>
  </si>
  <si>
    <t>-0,3 за отсутствие версий; -0,2 за отсутствие статусов</t>
  </si>
  <si>
    <t>Модуль технолога: общая логика клиента</t>
  </si>
  <si>
    <t>Модуль технолога: главная страница</t>
  </si>
  <si>
    <t>Модуль технолога: рецептура</t>
  </si>
  <si>
    <t>Модуль технолога: Продукция</t>
  </si>
  <si>
    <t>Список продукции реализован</t>
  </si>
  <si>
    <t>-0,3 за отсутствие таблицы; -0,2 за неполные данные</t>
  </si>
  <si>
    <t>Поиск и фильтрация реализованы</t>
  </si>
  <si>
    <t>-0,2 за отсутствие поиска; -0,2 за отсутствие фильтрации</t>
  </si>
  <si>
    <t>Карточка продукта реализована</t>
  </si>
  <si>
    <t>-0,4 за отсутствие вкладок; -0,2 за неполные данные</t>
  </si>
  <si>
    <t>Связи с рецептурами и техкартами реализованы</t>
  </si>
  <si>
    <t>-0,3 за отсутствие переходов; -0,2 за ошибки</t>
  </si>
  <si>
    <t>Модуль технолога: отчеты</t>
  </si>
  <si>
    <t>Технологические карты</t>
  </si>
  <si>
    <t>Список карт реализован</t>
  </si>
  <si>
    <t>Карточка технологической карты реализована</t>
  </si>
  <si>
    <t>-0,4 за отсутствие структуры; -0,2 за неполные данные</t>
  </si>
  <si>
    <t>Работа с шагами реализована</t>
  </si>
  <si>
    <t>-0,5 за отсутствие шагов; -0,3 за ошибки порядка</t>
  </si>
  <si>
    <t>Параметры шагов и обязательность реализованы</t>
  </si>
  <si>
    <t>-0,4 за отсутствие параметров; -0,2 за ошибки</t>
  </si>
  <si>
    <t>Реализован отчет по партиям</t>
  </si>
  <si>
    <t>Реализован отчет по отклонениям</t>
  </si>
  <si>
    <t>Реализован отчет по использованию рецептур</t>
  </si>
  <si>
    <t>Реализован отчет по событиям экструдера</t>
  </si>
  <si>
    <t>Реализован отчет по лабораторным блокировкам</t>
  </si>
  <si>
    <t>Отчет соответствует требованиям, экспорт в нужных форматах, данные из БД</t>
  </si>
  <si>
    <t xml:space="preserve">Модуль лаборанта: общая логика </t>
  </si>
  <si>
    <t xml:space="preserve">Модуль лаборанта: партии сырья </t>
  </si>
  <si>
    <t xml:space="preserve">Модуль лаборанта: испытание </t>
  </si>
  <si>
    <t>Модуль лаборанта: Карточка партии сырья</t>
  </si>
  <si>
    <t>Последовательный сценарий работы с партией реализован</t>
  </si>
  <si>
    <t>-0,6 за отсутствие этапа (получение партии → испытание → ввод → решение); -0,3 за нарушение порядка</t>
  </si>
  <si>
    <t>Связь партии, испытания и решения реализована</t>
  </si>
  <si>
    <t>-0,5 за отсутствие связи; -0,3 за частичную реализацию</t>
  </si>
  <si>
    <t>Автоматическая проверка нормативов реализована</t>
  </si>
  <si>
    <t>-0,5 за отсутствие проверки; -0,3 за некорректную проверку диапазонов</t>
  </si>
  <si>
    <t>Ограничения на некорректные действия реализованы</t>
  </si>
  <si>
    <t>-0,5 за возможность принять решение без испытания; -0,3 за отсутствие проверок</t>
  </si>
  <si>
    <t>История действий и изменений фиксируется</t>
  </si>
  <si>
    <t>-0,4 за отсутствие истории; -0,2 за неполную фиксацию</t>
  </si>
  <si>
    <t>Непрерывная навигация между экранами реализована</t>
  </si>
  <si>
    <t>-0,3 за потерю контекста; -0,2 за лишние переходы</t>
  </si>
  <si>
    <t>Таблица партий реализована с полным набором данных</t>
  </si>
  <si>
    <t>-0,3 за каждый отсутствующий ключевой столбец (номер, материал, статус и др.); -0,2 за некорректные данные</t>
  </si>
  <si>
    <t>Цветовая индикация статусов реализована</t>
  </si>
  <si>
    <t>-0,4 за отсутствие; -0,2 за некорректную логику цветов</t>
  </si>
  <si>
    <t>Поиск по номеру и материалу реализован</t>
  </si>
  <si>
    <t>-0,3 за отсутствие; -0,2 за некорректную работу</t>
  </si>
  <si>
    <t>Фильтрация по ключевым параметрам реализована</t>
  </si>
  <si>
    <t>-0,3 за отсутствие фильтров; -0,2 за неполную реализацию</t>
  </si>
  <si>
    <t>Переход в карточку партии реализован</t>
  </si>
  <si>
    <t>-0,3 за отсутствие перехода; -0,2 за ошибки</t>
  </si>
  <si>
    <t>Создание испытания из списка реализовано</t>
  </si>
  <si>
    <t>-0,4 за отсутствие; -0,2 за отсутствие предзаполнения</t>
  </si>
  <si>
    <t>Автозаполнение данных партии реализовано</t>
  </si>
  <si>
    <t>-0,4 за отсутствие; -0,2 за неполное заполнение</t>
  </si>
  <si>
    <t>Поля испытания реализованы полностью</t>
  </si>
  <si>
    <t>-0,2 за отсутствие каждого поля (тип, дата, исполнитель, приоритет и др.)</t>
  </si>
  <si>
    <t>Выбор или формирование параметров испытания реализован</t>
  </si>
  <si>
    <t>-0,4 за отсутствие параметров; -0,2 за некорректную структуру</t>
  </si>
  <si>
    <t>Проверка на дублирование испытаний реализована</t>
  </si>
  <si>
    <t>-0,5 за возможность создать дубликат без предупреждения; -0,3 за отсутствие проверки</t>
  </si>
  <si>
    <t>Создание испытания через API реализовано</t>
  </si>
  <si>
    <t>-0,3 за отсутствие сохранения; -0,2 за ошибки</t>
  </si>
  <si>
    <t>Основные данные партии отображаются полностью</t>
  </si>
  <si>
    <t>-0,2 за отсутствие каждого ключевого поля; -0,1 за некорректные данные</t>
  </si>
  <si>
    <t>Список испытаний отображается корректно</t>
  </si>
  <si>
    <t>-0,3 за отсутствие списка; -0,2 за неполные данные</t>
  </si>
  <si>
    <t>Открытие и создание испытаний реализовано</t>
  </si>
  <si>
    <t>Блок лабораторного решения реализован</t>
  </si>
  <si>
    <t>-0,5 за отсутствие блока; -0,3 за неполную форму</t>
  </si>
  <si>
    <t>Проверки перед принятием решения реализованы</t>
  </si>
  <si>
    <t>-0,5 за возможность принять решение без завершенного испытания; -0,3 за неполные проверки</t>
  </si>
  <si>
    <t>Сохранение решения и изменение статуса реализовано</t>
  </si>
  <si>
    <t>-0,4 за отсутствие изменения статуса; -0,2 за отсутствие записи истории</t>
  </si>
  <si>
    <t>История изменений отображается</t>
  </si>
  <si>
    <t>-0,4 за отсутствие истории; -0,2 за неполные данные</t>
  </si>
  <si>
    <t>Модуль аппаратчика: общая логика клиента</t>
  </si>
  <si>
    <t>Модуль аппаратчика: Экран авторизации</t>
  </si>
  <si>
    <t>Модуль аппаратчика: Экран «Активные партии»</t>
  </si>
  <si>
    <t>Модуль аппаратчика: Экран «Программа партии»</t>
  </si>
  <si>
    <t>Последовательный сценарий работы аппаратчика реализован</t>
  </si>
  <si>
    <t>-0,5 за отсутствие одного из обязательных этапов сценария: выбор партии, открытие программы партии, начало шага, ввод данных, завершение шага; -0,25 за нарушение логики переходов между этапами</t>
  </si>
  <si>
    <t>Связь интерфейса с реальным производственным процессом реализована</t>
  </si>
  <si>
    <t>-0,4 за отсутствие отражения текущего состояния партии; -0,3 за отсутствие привязки действий пользователя к шагам; -0,2 за формальный интерфейс без логики исполнения</t>
  </si>
  <si>
    <t>Единая структура интерфейса модуля реализована</t>
  </si>
  <si>
    <t>-0,25 за отсутствие общей шапки; -0,25 за отсутствие меню; -0,15 за несогласованность экранов между собой</t>
  </si>
  <si>
    <t>Работа модуля в условиях цеха учтена</t>
  </si>
  <si>
    <t>-0,3 за перегруженность интерфейса; -0,2 за мелкие или нечитабельные элементы; -0,2 за отсутствие явной индикации статусов и тревог</t>
  </si>
  <si>
    <t>Все действия пользователя фиксируются системой</t>
  </si>
  <si>
    <t>-0,4 за отсутствие журналирования ключевых действий; -0,2 за неполную фиксацию начала/завершения шагов и ввода параметров</t>
  </si>
  <si>
    <t>Экран авторизации реализован в соответствии с заданием</t>
  </si>
  <si>
    <t>-0,2 за отсутствие логотипа или названия системы; -0,2 за отсутствие полей логина и пароля; -0,2 за отсутствие кнопки входа; -0,1 за отсутствие области ошибок</t>
  </si>
  <si>
    <t>Выполняется авторизация через сервер</t>
  </si>
  <si>
    <t>-0,3 за отсутствие запроса к серверу; -0,2 за отсутствие сохранения сессии; -0,1 за формальную авторизацию без проверки</t>
  </si>
  <si>
    <t>Обработка ошибок авторизации реализована</t>
  </si>
  <si>
    <t>-0,2 за отсутствие сообщения о неверных данных; -0,2 за отсутствие обработки недоступности сервера</t>
  </si>
  <si>
    <t>Отображение списка активных партий реализовано</t>
  </si>
  <si>
    <t>-0,25 за отсутствие номера партии; -0,2 за отсутствие продукта; -0,2 за отсутствие линии; -0,2 за отсутствие текущего шага; -0,15 за отсутствие статусов</t>
  </si>
  <si>
    <t>Фильтрация и поиск реализованы</t>
  </si>
  <si>
    <t>-0,2 за отсутствие поиска; -0,2 за отсутствие фильтра по линии; -0,2 за отсутствие фильтра по статусу или продукту</t>
  </si>
  <si>
    <t>Цветовая индикация состояний реализована</t>
  </si>
  <si>
    <t>-0,25 за отсутствие индикации нормального состояния; -0,25 за отсутствие warning; -0,25 за отсутствие critical</t>
  </si>
  <si>
    <t>Переход из списка в программу партии реализован</t>
  </si>
  <si>
    <t>-0,3 за отсутствие перехода; -0,2 за некорректную загрузку выбранной партии</t>
  </si>
  <si>
    <t>Список обновляется и отражает актуальное состояние</t>
  </si>
  <si>
    <t>-0,3 за отсутствие обновления; -0,2 за обновление без изменения состояния интерфейса</t>
  </si>
  <si>
    <t>Верхняя шапка партии реализована</t>
  </si>
  <si>
    <t>-0,2 за отсутствие номера партии; -0,15 за отсутствие продукта; -0,15 за отсутствие линии; -0,15 за отсутствие статуса; -0,15 за отсутствие текущего шага; -0,1 за отсутствие времени начала; -0,1 за отсутствие индикатора отклонений</t>
  </si>
  <si>
    <t>Левая панель шагов реализована</t>
  </si>
  <si>
    <t>-0,2 за отсутствие списка шагов; -0,15 за отсутствие номера шага; -0,15 за отсутствие названия; -0,15 за отсутствие статуса; -0,15 за отсутствие отметки об отклонениях</t>
  </si>
  <si>
    <t>Правая рабочая зона шага реализована</t>
  </si>
  <si>
    <t>-0,25 за отсутствие параметров шага; -0,2 за отсутствие инструкций; -0,2 за отсутствие ранее введённых данных; -0,15 за отсутствие визуального разделения рабочей зоны</t>
  </si>
  <si>
    <t>Начало шага реализовано корректно</t>
  </si>
  <si>
    <t>-0,25 за отсутствие кнопки или действия начала; -0,2 за отсутствие записи времени начала; -0,2 за отсутствие смены статуса шага; -0,15 за отсутствие события в журнале</t>
  </si>
  <si>
    <t>Ввод фактических данных реализован с проверками</t>
  </si>
  <si>
    <t>-0,3 за отсутствие формы ввода; -0,25 за отсутствие проверки формата; -0,25 за отсутствие сравнения с диапазоном; -0,2 за отсутствие требования комментария при отклонении</t>
  </si>
  <si>
    <t>Завершение шага реализовано корректно</t>
  </si>
  <si>
    <t>-0,25 за отсутствие проверки обязательных полей; -0,2 за отсутствие проверки критических отклонений; -0,2 за отсутствие записи времени завершения; -0,15 за отсутствие активации следующего шага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</si>
</sst>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0"/>
      </patternFill>
    </fill>
    <fill>
      <patternFill patternType="solid">
        <f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vertical="center" wrapText="1"/>
    </xf>
    <xf numFmtId="0" fontId="2" fillId="0" borderId="0" xfId="0" quotePrefix="1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8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top" wrapText="1"/>
    </xf>
    <xf numFmtId="0" fontId="1" fillId="5" borderId="6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1" fillId="5" borderId="6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0" fontId="5" fillId="5" borderId="10" xfId="0" applyFont="1" applyFill="1" applyBorder="1" applyAlignment="1">
      <alignment wrapText="1"/>
    </xf>
    <xf numFmtId="0" fontId="1" fillId="5" borderId="2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top" wrapText="1"/>
    </xf>
    <xf numFmtId="2" fontId="1" fillId="5" borderId="9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 wrapText="1"/>
    </xf>
    <xf numFmtId="2" fontId="1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1" fillId="5" borderId="7" xfId="0" applyFont="1" applyFill="1" applyBorder="1" applyAlignment="1">
      <alignment vertical="top" wrapText="1"/>
    </xf>
    <xf numFmtId="0" fontId="5" fillId="5" borderId="8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right"/>
    </xf>
    <xf numFmtId="0" fontId="1" fillId="5" borderId="12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5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wrapText="1"/>
    </xf>
    <xf numFmtId="2" fontId="7" fillId="0" borderId="5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2" fontId="1" fillId="5" borderId="1" xfId="0" applyNumberFormat="1" applyFont="1" applyFill="1" applyBorder="1" applyAlignment="1">
      <alignment horizontal="center" vertical="top" wrapText="1"/>
    </xf>
    <xf numFmtId="2" fontId="5" fillId="5" borderId="1" xfId="0" applyNumberFormat="1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EB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1"/>
  <sheetViews>
    <sheetView tabSelected="1" zoomScaleNormal="100" workbookViewId="0">
      <selection activeCell="F75" sqref="F75"/>
    </sheetView>
  </sheetViews>
  <sheetFormatPr defaultColWidth="11" defaultRowHeight="15.75" x14ac:dyDescent="0.25"/>
  <cols>
    <col min="1" max="1" width="6.875" style="1" customWidth="1"/>
    <col min="2" max="2" width="31" style="5" customWidth="1"/>
    <col min="3" max="3" width="8.375" style="2" customWidth="1"/>
    <col min="4" max="4" width="37" style="4" customWidth="1"/>
    <col min="5" max="5" width="12.25" style="2" customWidth="1"/>
    <col min="6" max="6" width="42.75" style="4" customWidth="1"/>
    <col min="7" max="7" width="20.625" style="4" bestFit="1" customWidth="1"/>
    <col min="8" max="8" width="7.125" style="15" bestFit="1" customWidth="1"/>
    <col min="9" max="9" width="8.375" style="10" customWidth="1"/>
    <col min="10" max="16384" width="11" style="5"/>
  </cols>
  <sheetData>
    <row r="2" spans="1:9" ht="52.5" customHeight="1" x14ac:dyDescent="0.25">
      <c r="B2" s="26" t="s">
        <v>12</v>
      </c>
      <c r="C2" s="27"/>
      <c r="D2" s="28" t="s">
        <v>20</v>
      </c>
      <c r="E2" s="3"/>
    </row>
    <row r="3" spans="1:9" ht="32.25" customHeight="1" x14ac:dyDescent="0.25">
      <c r="B3" s="26" t="s">
        <v>14</v>
      </c>
      <c r="C3" s="27"/>
      <c r="D3" s="29" t="s">
        <v>21</v>
      </c>
      <c r="E3" s="3"/>
    </row>
    <row r="5" spans="1:9" s="6" customFormat="1" ht="51.75" customHeight="1" x14ac:dyDescent="0.25">
      <c r="A5" s="11" t="s">
        <v>2</v>
      </c>
      <c r="B5" s="11" t="s">
        <v>19</v>
      </c>
      <c r="C5" s="11" t="s">
        <v>3</v>
      </c>
      <c r="D5" s="11" t="s">
        <v>5</v>
      </c>
      <c r="E5" s="11" t="s">
        <v>8</v>
      </c>
      <c r="F5" s="11" t="s">
        <v>4</v>
      </c>
      <c r="G5" s="11" t="s">
        <v>13</v>
      </c>
      <c r="H5" s="11" t="s">
        <v>16</v>
      </c>
      <c r="I5" s="11" t="s">
        <v>9</v>
      </c>
    </row>
    <row r="6" spans="1:9" s="13" customFormat="1" x14ac:dyDescent="0.25">
      <c r="A6" s="12" t="s">
        <v>1</v>
      </c>
      <c r="B6" s="32" t="s">
        <v>22</v>
      </c>
      <c r="C6" s="32"/>
      <c r="D6" s="32"/>
      <c r="E6" s="32"/>
      <c r="F6" s="32"/>
      <c r="G6" s="32"/>
      <c r="H6" s="32"/>
      <c r="I6" s="16">
        <f>SUM(I7:I44)</f>
        <v>19</v>
      </c>
    </row>
    <row r="7" spans="1:9" ht="31.5" x14ac:dyDescent="0.25">
      <c r="A7" s="36">
        <v>1</v>
      </c>
      <c r="B7" s="37" t="s">
        <v>23</v>
      </c>
      <c r="C7" s="38"/>
      <c r="D7" s="37"/>
      <c r="E7" s="38"/>
      <c r="F7" s="38"/>
      <c r="G7" s="37"/>
      <c r="H7" s="39"/>
      <c r="I7" s="40"/>
    </row>
    <row r="8" spans="1:9" ht="63" x14ac:dyDescent="0.25">
      <c r="A8" s="36"/>
      <c r="B8" s="37"/>
      <c r="C8" s="39" t="s">
        <v>6</v>
      </c>
      <c r="D8" s="41" t="s">
        <v>24</v>
      </c>
      <c r="E8" s="42"/>
      <c r="F8" s="37" t="s">
        <v>25</v>
      </c>
      <c r="G8" s="37"/>
      <c r="H8" s="39">
        <v>2</v>
      </c>
      <c r="I8" s="40">
        <v>0.5</v>
      </c>
    </row>
    <row r="9" spans="1:9" ht="63" x14ac:dyDescent="0.25">
      <c r="A9" s="36"/>
      <c r="B9" s="37"/>
      <c r="C9" s="39" t="s">
        <v>6</v>
      </c>
      <c r="D9" s="41" t="s">
        <v>26</v>
      </c>
      <c r="E9" s="42"/>
      <c r="F9" s="37" t="s">
        <v>27</v>
      </c>
      <c r="G9" s="37"/>
      <c r="H9" s="39">
        <v>2</v>
      </c>
      <c r="I9" s="40">
        <v>2</v>
      </c>
    </row>
    <row r="10" spans="1:9" ht="31.5" x14ac:dyDescent="0.25">
      <c r="A10" s="36"/>
      <c r="B10" s="37"/>
      <c r="C10" s="39" t="s">
        <v>6</v>
      </c>
      <c r="D10" s="41" t="s">
        <v>45</v>
      </c>
      <c r="E10" s="42"/>
      <c r="F10" s="37" t="s">
        <v>46</v>
      </c>
      <c r="G10" s="37"/>
      <c r="H10" s="39">
        <v>2</v>
      </c>
      <c r="I10" s="40">
        <v>0.25</v>
      </c>
    </row>
    <row r="11" spans="1:9" ht="47.25" x14ac:dyDescent="0.25">
      <c r="A11" s="36"/>
      <c r="B11" s="37"/>
      <c r="C11" s="39" t="s">
        <v>6</v>
      </c>
      <c r="D11" s="41" t="s">
        <v>28</v>
      </c>
      <c r="E11" s="42"/>
      <c r="F11" s="37" t="s">
        <v>29</v>
      </c>
      <c r="G11" s="37"/>
      <c r="H11" s="39">
        <v>2</v>
      </c>
      <c r="I11" s="40">
        <v>0.75</v>
      </c>
    </row>
    <row r="12" spans="1:9" ht="63" x14ac:dyDescent="0.25">
      <c r="A12" s="36"/>
      <c r="B12" s="37"/>
      <c r="C12" s="39" t="s">
        <v>6</v>
      </c>
      <c r="D12" s="41" t="s">
        <v>30</v>
      </c>
      <c r="E12" s="42"/>
      <c r="F12" s="37" t="s">
        <v>31</v>
      </c>
      <c r="G12" s="37"/>
      <c r="H12" s="39">
        <v>2</v>
      </c>
      <c r="I12" s="40">
        <v>0.65</v>
      </c>
    </row>
    <row r="13" spans="1:9" ht="78.75" x14ac:dyDescent="0.25">
      <c r="A13" s="36"/>
      <c r="B13" s="37"/>
      <c r="C13" s="39" t="s">
        <v>6</v>
      </c>
      <c r="D13" s="41" t="s">
        <v>32</v>
      </c>
      <c r="E13" s="42"/>
      <c r="F13" s="37" t="s">
        <v>33</v>
      </c>
      <c r="G13" s="37"/>
      <c r="H13" s="39">
        <v>2</v>
      </c>
      <c r="I13" s="40">
        <v>0.25</v>
      </c>
    </row>
    <row r="14" spans="1:9" x14ac:dyDescent="0.25">
      <c r="A14" s="36">
        <v>2</v>
      </c>
      <c r="B14" s="37" t="s">
        <v>43</v>
      </c>
      <c r="C14" s="42"/>
      <c r="D14" s="37"/>
      <c r="E14" s="42"/>
      <c r="F14" s="37"/>
      <c r="G14" s="37"/>
      <c r="H14" s="39"/>
      <c r="I14" s="40"/>
    </row>
    <row r="15" spans="1:9" ht="47.25" x14ac:dyDescent="0.25">
      <c r="A15" s="36"/>
      <c r="B15" s="37"/>
      <c r="C15" s="43" t="s">
        <v>6</v>
      </c>
      <c r="D15" s="44" t="s">
        <v>34</v>
      </c>
      <c r="E15" s="42"/>
      <c r="F15" s="37" t="s">
        <v>35</v>
      </c>
      <c r="G15" s="37"/>
      <c r="H15" s="39">
        <v>2</v>
      </c>
      <c r="I15" s="40">
        <v>0.5</v>
      </c>
    </row>
    <row r="16" spans="1:9" x14ac:dyDescent="0.25">
      <c r="A16" s="36"/>
      <c r="B16" s="37"/>
      <c r="C16" s="43" t="s">
        <v>6</v>
      </c>
      <c r="D16" s="44" t="s">
        <v>36</v>
      </c>
      <c r="E16" s="42"/>
      <c r="F16" s="37"/>
      <c r="G16" s="37"/>
      <c r="H16" s="39">
        <v>2</v>
      </c>
      <c r="I16" s="40">
        <v>0.1</v>
      </c>
    </row>
    <row r="17" spans="1:9" ht="47.25" x14ac:dyDescent="0.25">
      <c r="A17" s="36"/>
      <c r="B17" s="37"/>
      <c r="C17" s="39" t="s">
        <v>6</v>
      </c>
      <c r="D17" s="41" t="s">
        <v>37</v>
      </c>
      <c r="E17" s="42"/>
      <c r="F17" s="37" t="s">
        <v>38</v>
      </c>
      <c r="G17" s="37"/>
      <c r="H17" s="39">
        <v>2</v>
      </c>
      <c r="I17" s="40">
        <v>1.5</v>
      </c>
    </row>
    <row r="18" spans="1:9" ht="47.25" x14ac:dyDescent="0.25">
      <c r="A18" s="36"/>
      <c r="B18" s="37"/>
      <c r="C18" s="39" t="s">
        <v>6</v>
      </c>
      <c r="D18" s="41" t="s">
        <v>39</v>
      </c>
      <c r="E18" s="42"/>
      <c r="F18" s="37" t="s">
        <v>40</v>
      </c>
      <c r="G18" s="37"/>
      <c r="H18" s="39">
        <v>2</v>
      </c>
      <c r="I18" s="40">
        <v>0.75</v>
      </c>
    </row>
    <row r="19" spans="1:9" ht="47.25" x14ac:dyDescent="0.25">
      <c r="A19" s="36"/>
      <c r="B19" s="37"/>
      <c r="C19" s="39" t="s">
        <v>6</v>
      </c>
      <c r="D19" s="45" t="s">
        <v>41</v>
      </c>
      <c r="E19" s="42"/>
      <c r="F19" s="37" t="s">
        <v>42</v>
      </c>
      <c r="G19" s="37"/>
      <c r="H19" s="39">
        <v>2</v>
      </c>
      <c r="I19" s="40">
        <v>0.75</v>
      </c>
    </row>
    <row r="20" spans="1:9" ht="78.75" x14ac:dyDescent="0.25">
      <c r="A20" s="36"/>
      <c r="B20" s="37"/>
      <c r="C20" s="39" t="s">
        <v>6</v>
      </c>
      <c r="D20" s="41" t="s">
        <v>32</v>
      </c>
      <c r="E20" s="42"/>
      <c r="F20" s="37" t="s">
        <v>33</v>
      </c>
      <c r="G20" s="37"/>
      <c r="H20" s="39">
        <v>2</v>
      </c>
      <c r="I20" s="40">
        <v>0.25</v>
      </c>
    </row>
    <row r="21" spans="1:9" x14ac:dyDescent="0.25">
      <c r="A21" s="36">
        <v>3</v>
      </c>
      <c r="B21" s="37" t="s">
        <v>44</v>
      </c>
      <c r="C21" s="39"/>
      <c r="D21" s="41"/>
      <c r="E21" s="42"/>
      <c r="F21" s="37"/>
      <c r="G21" s="36"/>
      <c r="H21" s="37"/>
      <c r="I21" s="39"/>
    </row>
    <row r="22" spans="1:9" ht="31.5" x14ac:dyDescent="0.25">
      <c r="A22" s="36"/>
      <c r="B22" s="37"/>
      <c r="C22" s="39" t="s">
        <v>6</v>
      </c>
      <c r="D22" s="41" t="s">
        <v>54</v>
      </c>
      <c r="E22" s="31"/>
      <c r="F22" s="42" t="s">
        <v>55</v>
      </c>
      <c r="G22" s="30"/>
      <c r="H22" s="42">
        <v>2</v>
      </c>
      <c r="I22" s="40">
        <v>1</v>
      </c>
    </row>
    <row r="23" spans="1:9" ht="31.5" x14ac:dyDescent="0.25">
      <c r="A23" s="36"/>
      <c r="B23" s="37"/>
      <c r="C23" s="39" t="s">
        <v>6</v>
      </c>
      <c r="D23" s="41" t="s">
        <v>57</v>
      </c>
      <c r="E23" s="31"/>
      <c r="F23" s="42" t="s">
        <v>58</v>
      </c>
      <c r="G23" s="30"/>
      <c r="H23" s="42">
        <v>2</v>
      </c>
      <c r="I23" s="40">
        <v>0.75</v>
      </c>
    </row>
    <row r="24" spans="1:9" ht="31.5" x14ac:dyDescent="0.25">
      <c r="A24" s="36"/>
      <c r="B24" s="37"/>
      <c r="C24" s="39" t="s">
        <v>6</v>
      </c>
      <c r="D24" s="41" t="s">
        <v>60</v>
      </c>
      <c r="E24" s="31"/>
      <c r="F24" s="42" t="s">
        <v>61</v>
      </c>
      <c r="G24" s="30"/>
      <c r="H24" s="42">
        <v>2</v>
      </c>
      <c r="I24" s="40">
        <v>1</v>
      </c>
    </row>
    <row r="25" spans="1:9" x14ac:dyDescent="0.25">
      <c r="A25" s="36"/>
      <c r="B25" s="37"/>
      <c r="C25" s="39" t="s">
        <v>6</v>
      </c>
      <c r="D25" s="41" t="s">
        <v>62</v>
      </c>
      <c r="E25" s="31"/>
      <c r="F25" s="42" t="s">
        <v>63</v>
      </c>
      <c r="G25" s="30"/>
      <c r="H25" s="42">
        <v>2</v>
      </c>
      <c r="I25" s="40">
        <v>0.5</v>
      </c>
    </row>
    <row r="26" spans="1:9" ht="31.5" x14ac:dyDescent="0.25">
      <c r="A26" s="36"/>
      <c r="B26" s="37"/>
      <c r="C26" s="39" t="s">
        <v>6</v>
      </c>
      <c r="D26" s="41" t="s">
        <v>64</v>
      </c>
      <c r="E26" s="31"/>
      <c r="F26" s="42" t="s">
        <v>65</v>
      </c>
      <c r="G26" s="30"/>
      <c r="H26" s="42">
        <v>2</v>
      </c>
      <c r="I26" s="40">
        <v>0.5</v>
      </c>
    </row>
    <row r="27" spans="1:9" x14ac:dyDescent="0.25">
      <c r="A27" s="36"/>
      <c r="B27" s="37"/>
      <c r="C27" s="39" t="s">
        <v>6</v>
      </c>
      <c r="D27" s="41" t="s">
        <v>66</v>
      </c>
      <c r="E27" s="31"/>
      <c r="F27" s="42" t="s">
        <v>67</v>
      </c>
      <c r="G27" s="30"/>
      <c r="H27" s="42">
        <v>2</v>
      </c>
      <c r="I27" s="40">
        <v>0.25</v>
      </c>
    </row>
    <row r="28" spans="1:9" x14ac:dyDescent="0.25">
      <c r="A28" s="36">
        <v>4</v>
      </c>
      <c r="B28" s="37" t="s">
        <v>68</v>
      </c>
      <c r="C28" s="39"/>
      <c r="D28" s="41"/>
      <c r="E28" s="31"/>
      <c r="F28" s="42"/>
      <c r="G28" s="36"/>
      <c r="H28" s="42"/>
      <c r="I28" s="39"/>
    </row>
    <row r="29" spans="1:9" ht="31.5" x14ac:dyDescent="0.25">
      <c r="A29" s="36"/>
      <c r="B29" s="37"/>
      <c r="C29" s="39" t="s">
        <v>6</v>
      </c>
      <c r="D29" s="41" t="s">
        <v>76</v>
      </c>
      <c r="E29" s="31"/>
      <c r="F29" s="42" t="s">
        <v>69</v>
      </c>
      <c r="G29" s="36"/>
      <c r="H29" s="42">
        <v>2</v>
      </c>
      <c r="I29" s="40">
        <v>1</v>
      </c>
    </row>
    <row r="30" spans="1:9" x14ac:dyDescent="0.25">
      <c r="A30" s="36"/>
      <c r="B30" s="37"/>
      <c r="C30" s="39" t="s">
        <v>6</v>
      </c>
      <c r="D30" s="41" t="s">
        <v>70</v>
      </c>
      <c r="E30" s="31"/>
      <c r="F30" s="42" t="s">
        <v>71</v>
      </c>
      <c r="G30" s="36"/>
      <c r="H30" s="42">
        <v>2</v>
      </c>
      <c r="I30" s="40">
        <v>0.5</v>
      </c>
    </row>
    <row r="31" spans="1:9" ht="31.5" x14ac:dyDescent="0.25">
      <c r="A31" s="36"/>
      <c r="B31" s="37"/>
      <c r="C31" s="39" t="s">
        <v>6</v>
      </c>
      <c r="D31" s="41" t="s">
        <v>72</v>
      </c>
      <c r="E31" s="31"/>
      <c r="F31" s="42" t="s">
        <v>73</v>
      </c>
      <c r="G31" s="36"/>
      <c r="H31" s="42">
        <v>2</v>
      </c>
      <c r="I31" s="40">
        <v>0.5</v>
      </c>
    </row>
    <row r="32" spans="1:9" ht="31.5" x14ac:dyDescent="0.25">
      <c r="A32" s="36"/>
      <c r="B32" s="37"/>
      <c r="C32" s="39" t="s">
        <v>6</v>
      </c>
      <c r="D32" s="41" t="s">
        <v>74</v>
      </c>
      <c r="E32" s="31"/>
      <c r="F32" s="42" t="s">
        <v>95</v>
      </c>
      <c r="G32" s="36"/>
      <c r="H32" s="42">
        <v>2</v>
      </c>
      <c r="I32" s="40">
        <v>0.25</v>
      </c>
    </row>
    <row r="33" spans="1:9" x14ac:dyDescent="0.25">
      <c r="A33" s="36"/>
      <c r="B33" s="37"/>
      <c r="C33" s="39" t="s">
        <v>6</v>
      </c>
      <c r="D33" s="41" t="s">
        <v>75</v>
      </c>
      <c r="E33" s="31"/>
      <c r="F33" s="42" t="s">
        <v>94</v>
      </c>
      <c r="G33" s="36"/>
      <c r="H33" s="42">
        <v>2</v>
      </c>
      <c r="I33" s="40">
        <v>0.25</v>
      </c>
    </row>
    <row r="34" spans="1:9" x14ac:dyDescent="0.25">
      <c r="A34" s="36"/>
      <c r="B34" s="37"/>
      <c r="C34" s="39" t="s">
        <v>6</v>
      </c>
      <c r="D34" s="41" t="s">
        <v>66</v>
      </c>
      <c r="E34" s="31"/>
      <c r="F34" s="42" t="s">
        <v>67</v>
      </c>
      <c r="G34" s="36"/>
      <c r="H34" s="42">
        <v>2</v>
      </c>
      <c r="I34" s="40">
        <v>0.25</v>
      </c>
    </row>
    <row r="35" spans="1:9" ht="31.5" x14ac:dyDescent="0.25">
      <c r="A35" s="41">
        <v>5</v>
      </c>
      <c r="B35" s="41" t="s">
        <v>77</v>
      </c>
      <c r="C35" s="41"/>
      <c r="D35" s="41"/>
      <c r="E35" s="41"/>
      <c r="F35" s="41"/>
      <c r="G35" s="41"/>
      <c r="H35" s="41"/>
      <c r="I35" s="41"/>
    </row>
    <row r="36" spans="1:9" x14ac:dyDescent="0.25">
      <c r="A36" s="41"/>
      <c r="B36" s="41"/>
      <c r="C36" s="41" t="s">
        <v>6</v>
      </c>
      <c r="D36" s="41" t="s">
        <v>78</v>
      </c>
      <c r="E36" s="31"/>
      <c r="F36" s="41" t="s">
        <v>79</v>
      </c>
      <c r="G36" s="30"/>
      <c r="H36" s="39">
        <v>3</v>
      </c>
      <c r="I36" s="40">
        <v>0.75</v>
      </c>
    </row>
    <row r="37" spans="1:9" ht="31.5" x14ac:dyDescent="0.25">
      <c r="A37" s="41"/>
      <c r="B37" s="41"/>
      <c r="C37" s="41" t="s">
        <v>6</v>
      </c>
      <c r="D37" s="41" t="s">
        <v>80</v>
      </c>
      <c r="E37" s="31"/>
      <c r="F37" s="41" t="s">
        <v>81</v>
      </c>
      <c r="G37" s="30"/>
      <c r="H37" s="39">
        <v>3</v>
      </c>
      <c r="I37" s="40">
        <v>0.5</v>
      </c>
    </row>
    <row r="38" spans="1:9" ht="31.5" x14ac:dyDescent="0.25">
      <c r="A38" s="41"/>
      <c r="B38" s="41"/>
      <c r="C38" s="41" t="s">
        <v>6</v>
      </c>
      <c r="D38" s="41" t="s">
        <v>82</v>
      </c>
      <c r="E38" s="31"/>
      <c r="F38" s="41" t="s">
        <v>83</v>
      </c>
      <c r="G38" s="30"/>
      <c r="H38" s="39">
        <v>3</v>
      </c>
      <c r="I38" s="40">
        <v>0.5</v>
      </c>
    </row>
    <row r="39" spans="1:9" x14ac:dyDescent="0.25">
      <c r="A39" s="41"/>
      <c r="B39" s="41"/>
      <c r="C39" s="41" t="s">
        <v>6</v>
      </c>
      <c r="D39" s="41" t="s">
        <v>84</v>
      </c>
      <c r="E39" s="31"/>
      <c r="F39" s="41" t="s">
        <v>85</v>
      </c>
      <c r="G39" s="30"/>
      <c r="H39" s="39">
        <v>3</v>
      </c>
      <c r="I39" s="40">
        <v>0.5</v>
      </c>
    </row>
    <row r="40" spans="1:9" ht="31.5" x14ac:dyDescent="0.25">
      <c r="A40" s="41"/>
      <c r="B40" s="41"/>
      <c r="C40" s="41" t="s">
        <v>6</v>
      </c>
      <c r="D40" s="41" t="s">
        <v>86</v>
      </c>
      <c r="E40" s="31"/>
      <c r="F40" s="41" t="s">
        <v>87</v>
      </c>
      <c r="G40" s="30"/>
      <c r="H40" s="39">
        <v>3</v>
      </c>
      <c r="I40" s="40">
        <v>0.5</v>
      </c>
    </row>
    <row r="41" spans="1:9" x14ac:dyDescent="0.25">
      <c r="A41" s="41"/>
      <c r="B41" s="41"/>
      <c r="C41" s="41" t="s">
        <v>6</v>
      </c>
      <c r="D41" s="41" t="s">
        <v>88</v>
      </c>
      <c r="E41" s="31"/>
      <c r="F41" s="41" t="s">
        <v>89</v>
      </c>
      <c r="G41" s="30"/>
      <c r="H41" s="39">
        <v>3</v>
      </c>
      <c r="I41" s="40">
        <v>0.5</v>
      </c>
    </row>
    <row r="42" spans="1:9" ht="31.5" x14ac:dyDescent="0.25">
      <c r="A42" s="41"/>
      <c r="B42" s="41"/>
      <c r="C42" s="41" t="s">
        <v>6</v>
      </c>
      <c r="D42" s="41" t="s">
        <v>90</v>
      </c>
      <c r="E42" s="31"/>
      <c r="F42" s="41" t="s">
        <v>91</v>
      </c>
      <c r="G42" s="30"/>
      <c r="H42" s="39">
        <v>3</v>
      </c>
      <c r="I42" s="40">
        <v>0.5</v>
      </c>
    </row>
    <row r="43" spans="1:9" x14ac:dyDescent="0.25">
      <c r="A43" s="41"/>
      <c r="B43" s="41"/>
      <c r="C43" s="41" t="s">
        <v>6</v>
      </c>
      <c r="D43" s="41" t="s">
        <v>92</v>
      </c>
      <c r="E43" s="31"/>
      <c r="F43" s="41" t="s">
        <v>93</v>
      </c>
      <c r="H43" s="39">
        <v>3</v>
      </c>
      <c r="I43" s="40">
        <v>0.25</v>
      </c>
    </row>
    <row r="44" spans="1:9" x14ac:dyDescent="0.25">
      <c r="A44" s="36"/>
      <c r="B44" s="37"/>
      <c r="C44" s="39"/>
      <c r="D44" s="41"/>
      <c r="E44" s="42"/>
      <c r="F44" s="37"/>
      <c r="G44" s="37"/>
      <c r="H44" s="39"/>
      <c r="I44" s="40"/>
    </row>
    <row r="45" spans="1:9" s="13" customFormat="1" x14ac:dyDescent="0.25">
      <c r="A45" s="14" t="s">
        <v>10</v>
      </c>
      <c r="B45" s="33" t="s">
        <v>0</v>
      </c>
      <c r="C45" s="33"/>
      <c r="D45" s="33"/>
      <c r="E45" s="33"/>
      <c r="F45" s="33"/>
      <c r="G45" s="33"/>
      <c r="H45" s="33"/>
      <c r="I45" s="19">
        <f>SUM(I46:I152)</f>
        <v>68</v>
      </c>
    </row>
    <row r="46" spans="1:9" x14ac:dyDescent="0.25">
      <c r="A46" s="36">
        <v>1</v>
      </c>
      <c r="B46" s="49" t="s">
        <v>103</v>
      </c>
      <c r="C46" s="49"/>
      <c r="D46" s="49"/>
      <c r="E46" s="49"/>
      <c r="F46" s="49"/>
      <c r="G46" s="49"/>
      <c r="H46" s="39"/>
      <c r="I46" s="40"/>
    </row>
    <row r="47" spans="1:9" ht="31.5" x14ac:dyDescent="0.25">
      <c r="A47" s="36"/>
      <c r="B47" s="49"/>
      <c r="C47" s="39" t="s">
        <v>6</v>
      </c>
      <c r="D47" s="45" t="s">
        <v>104</v>
      </c>
      <c r="E47" s="49"/>
      <c r="F47" s="49" t="s">
        <v>105</v>
      </c>
      <c r="G47" s="49"/>
      <c r="H47" s="39">
        <v>3</v>
      </c>
      <c r="I47" s="40">
        <v>1.5</v>
      </c>
    </row>
    <row r="48" spans="1:9" ht="47.25" x14ac:dyDescent="0.25">
      <c r="A48" s="36"/>
      <c r="B48" s="49"/>
      <c r="C48" s="39" t="s">
        <v>6</v>
      </c>
      <c r="D48" s="45" t="s">
        <v>106</v>
      </c>
      <c r="E48" s="49"/>
      <c r="F48" s="49" t="s">
        <v>107</v>
      </c>
      <c r="G48" s="49"/>
      <c r="H48" s="39">
        <v>3</v>
      </c>
      <c r="I48" s="40">
        <v>2</v>
      </c>
    </row>
    <row r="49" spans="1:9" ht="31.5" x14ac:dyDescent="0.25">
      <c r="A49" s="36"/>
      <c r="B49" s="49"/>
      <c r="C49" s="39" t="s">
        <v>6</v>
      </c>
      <c r="D49" s="45" t="s">
        <v>108</v>
      </c>
      <c r="E49" s="49"/>
      <c r="F49" s="49"/>
      <c r="G49" s="49"/>
      <c r="H49" s="39">
        <v>3</v>
      </c>
      <c r="I49" s="40">
        <v>0.1</v>
      </c>
    </row>
    <row r="50" spans="1:9" ht="63" x14ac:dyDescent="0.25">
      <c r="A50" s="36"/>
      <c r="B50" s="49"/>
      <c r="C50" s="39" t="s">
        <v>6</v>
      </c>
      <c r="D50" s="45" t="s">
        <v>109</v>
      </c>
      <c r="E50" s="49"/>
      <c r="F50" s="49" t="s">
        <v>107</v>
      </c>
      <c r="G50" s="49"/>
      <c r="H50" s="39">
        <v>7</v>
      </c>
      <c r="I50" s="40">
        <v>1.5</v>
      </c>
    </row>
    <row r="51" spans="1:9" ht="47.25" x14ac:dyDescent="0.25">
      <c r="A51" s="36"/>
      <c r="B51" s="49"/>
      <c r="C51" s="39" t="s">
        <v>6</v>
      </c>
      <c r="D51" s="45" t="s">
        <v>110</v>
      </c>
      <c r="E51" s="49"/>
      <c r="F51" s="49"/>
      <c r="G51" s="49"/>
      <c r="H51" s="39">
        <v>7</v>
      </c>
      <c r="I51" s="40">
        <v>0.2</v>
      </c>
    </row>
    <row r="52" spans="1:9" ht="47.25" x14ac:dyDescent="0.25">
      <c r="A52" s="36"/>
      <c r="B52" s="49"/>
      <c r="C52" s="39" t="s">
        <v>6</v>
      </c>
      <c r="D52" s="45" t="s">
        <v>111</v>
      </c>
      <c r="E52" s="49"/>
      <c r="F52" s="49"/>
      <c r="G52" s="49"/>
      <c r="H52" s="39">
        <v>3</v>
      </c>
      <c r="I52" s="40">
        <v>0.4</v>
      </c>
    </row>
    <row r="53" spans="1:9" ht="47.25" x14ac:dyDescent="0.25">
      <c r="A53" s="36"/>
      <c r="B53" s="49"/>
      <c r="C53" s="39" t="s">
        <v>6</v>
      </c>
      <c r="D53" s="45" t="s">
        <v>112</v>
      </c>
      <c r="E53" s="49"/>
      <c r="F53" s="49"/>
      <c r="G53" s="49"/>
      <c r="H53" s="39">
        <v>7</v>
      </c>
      <c r="I53" s="40">
        <v>1</v>
      </c>
    </row>
    <row r="54" spans="1:9" ht="31.5" x14ac:dyDescent="0.25">
      <c r="A54" s="36"/>
      <c r="B54" s="49"/>
      <c r="C54" s="39" t="s">
        <v>6</v>
      </c>
      <c r="D54" s="45" t="s">
        <v>113</v>
      </c>
      <c r="E54" s="49"/>
      <c r="F54" s="49" t="s">
        <v>105</v>
      </c>
      <c r="G54" s="49"/>
      <c r="H54" s="39">
        <v>7</v>
      </c>
      <c r="I54" s="40">
        <v>0.8</v>
      </c>
    </row>
    <row r="55" spans="1:9" ht="31.5" x14ac:dyDescent="0.25">
      <c r="A55" s="36"/>
      <c r="B55" s="49"/>
      <c r="C55" s="39" t="s">
        <v>7</v>
      </c>
      <c r="D55" s="45" t="s">
        <v>114</v>
      </c>
      <c r="E55" s="49"/>
      <c r="F55" s="49"/>
      <c r="G55" s="49"/>
      <c r="H55" s="39">
        <v>7</v>
      </c>
      <c r="I55" s="40">
        <v>0.5</v>
      </c>
    </row>
    <row r="56" spans="1:9" ht="47.25" x14ac:dyDescent="0.25">
      <c r="A56" s="36"/>
      <c r="B56" s="49"/>
      <c r="C56" s="45"/>
      <c r="D56" s="45"/>
      <c r="E56" s="50">
        <v>0</v>
      </c>
      <c r="F56" s="49" t="s">
        <v>115</v>
      </c>
      <c r="G56" s="49"/>
      <c r="H56" s="39"/>
      <c r="I56" s="40"/>
    </row>
    <row r="57" spans="1:9" ht="47.25" x14ac:dyDescent="0.25">
      <c r="A57" s="36"/>
      <c r="B57" s="49"/>
      <c r="C57" s="45"/>
      <c r="D57" s="45"/>
      <c r="E57" s="50">
        <v>1</v>
      </c>
      <c r="F57" s="49" t="s">
        <v>116</v>
      </c>
      <c r="G57" s="49"/>
      <c r="H57" s="39"/>
      <c r="I57" s="40"/>
    </row>
    <row r="58" spans="1:9" ht="63" x14ac:dyDescent="0.25">
      <c r="A58" s="36"/>
      <c r="B58" s="49"/>
      <c r="C58" s="45"/>
      <c r="D58" s="45"/>
      <c r="E58" s="50">
        <v>2</v>
      </c>
      <c r="F58" s="49" t="s">
        <v>117</v>
      </c>
      <c r="G58" s="49"/>
      <c r="H58" s="39"/>
      <c r="I58" s="40"/>
    </row>
    <row r="59" spans="1:9" ht="63" x14ac:dyDescent="0.25">
      <c r="A59" s="36"/>
      <c r="B59" s="49"/>
      <c r="C59" s="45"/>
      <c r="D59" s="45"/>
      <c r="E59" s="50">
        <v>3</v>
      </c>
      <c r="F59" s="49" t="s">
        <v>118</v>
      </c>
      <c r="G59" s="49"/>
      <c r="H59" s="39"/>
      <c r="I59" s="40"/>
    </row>
    <row r="60" spans="1:9" ht="63" x14ac:dyDescent="0.25">
      <c r="A60" s="36"/>
      <c r="B60" s="49"/>
      <c r="C60" s="39" t="s">
        <v>6</v>
      </c>
      <c r="D60" s="45" t="s">
        <v>119</v>
      </c>
      <c r="E60" s="49"/>
      <c r="F60" s="49" t="s">
        <v>120</v>
      </c>
      <c r="G60" s="49"/>
      <c r="H60" s="39">
        <v>4</v>
      </c>
      <c r="I60" s="40">
        <v>0.5</v>
      </c>
    </row>
    <row r="61" spans="1:9" ht="31.5" x14ac:dyDescent="0.25">
      <c r="A61" s="51">
        <v>2</v>
      </c>
      <c r="B61" s="52" t="s">
        <v>121</v>
      </c>
      <c r="C61" s="53"/>
      <c r="D61" s="54"/>
      <c r="E61" s="55"/>
      <c r="F61" s="55"/>
      <c r="G61" s="55"/>
      <c r="H61" s="56"/>
      <c r="I61" s="56"/>
    </row>
    <row r="62" spans="1:9" x14ac:dyDescent="0.25">
      <c r="A62" s="51"/>
      <c r="B62" s="52"/>
      <c r="C62" s="51" t="s">
        <v>6</v>
      </c>
      <c r="D62" s="57" t="s">
        <v>122</v>
      </c>
      <c r="E62" s="58"/>
      <c r="F62" s="38"/>
      <c r="G62" s="59"/>
      <c r="H62" s="60">
        <v>4</v>
      </c>
      <c r="I62" s="73">
        <v>0.8</v>
      </c>
    </row>
    <row r="63" spans="1:9" x14ac:dyDescent="0.25">
      <c r="A63" s="51"/>
      <c r="B63" s="52"/>
      <c r="C63" s="51" t="s">
        <v>6</v>
      </c>
      <c r="D63" s="57" t="s">
        <v>123</v>
      </c>
      <c r="E63" s="58"/>
      <c r="F63" s="38"/>
      <c r="G63" s="59"/>
      <c r="H63" s="60">
        <v>4</v>
      </c>
      <c r="I63" s="73">
        <v>0.8</v>
      </c>
    </row>
    <row r="64" spans="1:9" x14ac:dyDescent="0.25">
      <c r="A64" s="61"/>
      <c r="B64" s="62"/>
      <c r="C64" s="61" t="s">
        <v>6</v>
      </c>
      <c r="D64" s="57" t="s">
        <v>124</v>
      </c>
      <c r="E64" s="63"/>
      <c r="F64" s="64"/>
      <c r="G64" s="63"/>
      <c r="H64" s="65">
        <v>4</v>
      </c>
      <c r="I64" s="73">
        <v>0.8</v>
      </c>
    </row>
    <row r="65" spans="1:9" x14ac:dyDescent="0.25">
      <c r="A65" s="39">
        <v>3</v>
      </c>
      <c r="B65" s="45" t="s">
        <v>141</v>
      </c>
      <c r="C65" s="45"/>
      <c r="D65" s="45"/>
      <c r="E65" s="45"/>
      <c r="F65" s="45"/>
      <c r="G65" s="45"/>
      <c r="H65" s="45"/>
      <c r="I65" s="45"/>
    </row>
    <row r="66" spans="1:9" ht="31.5" x14ac:dyDescent="0.25">
      <c r="A66" s="57"/>
      <c r="B66" s="57"/>
      <c r="C66" s="51" t="s">
        <v>6</v>
      </c>
      <c r="D66" s="57" t="s">
        <v>142</v>
      </c>
      <c r="E66" s="57"/>
      <c r="F66" s="57" t="s">
        <v>145</v>
      </c>
      <c r="G66" s="57"/>
      <c r="H66" s="51">
        <v>7</v>
      </c>
      <c r="I66" s="73">
        <v>2</v>
      </c>
    </row>
    <row r="67" spans="1:9" ht="31.5" x14ac:dyDescent="0.25">
      <c r="A67" s="57"/>
      <c r="B67" s="57"/>
      <c r="C67" s="51" t="s">
        <v>6</v>
      </c>
      <c r="D67" s="57" t="s">
        <v>143</v>
      </c>
      <c r="E67" s="57"/>
      <c r="F67" s="57" t="s">
        <v>145</v>
      </c>
      <c r="G67" s="57"/>
      <c r="H67" s="51">
        <v>4</v>
      </c>
      <c r="I67" s="73">
        <v>2</v>
      </c>
    </row>
    <row r="68" spans="1:9" ht="31.5" x14ac:dyDescent="0.25">
      <c r="A68" s="57"/>
      <c r="B68" s="57"/>
      <c r="C68" s="51" t="s">
        <v>6</v>
      </c>
      <c r="D68" s="57" t="s">
        <v>144</v>
      </c>
      <c r="E68" s="57"/>
      <c r="F68" s="57" t="s">
        <v>145</v>
      </c>
      <c r="G68" s="57"/>
      <c r="H68" s="51">
        <v>4</v>
      </c>
      <c r="I68" s="74">
        <v>2</v>
      </c>
    </row>
    <row r="69" spans="1:9" ht="31.5" x14ac:dyDescent="0.25">
      <c r="A69" s="57"/>
      <c r="B69" s="57"/>
      <c r="C69" s="51" t="s">
        <v>6</v>
      </c>
      <c r="D69" s="57" t="s">
        <v>146</v>
      </c>
      <c r="E69" s="57"/>
      <c r="F69" s="57" t="s">
        <v>145</v>
      </c>
      <c r="G69" s="57"/>
      <c r="H69" s="51">
        <v>4</v>
      </c>
      <c r="I69" s="73">
        <v>2</v>
      </c>
    </row>
    <row r="70" spans="1:9" ht="31.5" x14ac:dyDescent="0.25">
      <c r="A70" s="45"/>
      <c r="B70" s="45"/>
      <c r="C70" s="39" t="s">
        <v>6</v>
      </c>
      <c r="D70" s="45" t="s">
        <v>147</v>
      </c>
      <c r="E70" s="45"/>
      <c r="F70" s="45" t="s">
        <v>148</v>
      </c>
      <c r="G70" s="45"/>
      <c r="H70" s="39">
        <v>4</v>
      </c>
      <c r="I70" s="73">
        <v>0.4</v>
      </c>
    </row>
    <row r="71" spans="1:9" ht="31.5" x14ac:dyDescent="0.25">
      <c r="A71" s="54"/>
      <c r="B71" s="54"/>
      <c r="C71" s="67" t="s">
        <v>6</v>
      </c>
      <c r="D71" s="54" t="s">
        <v>149</v>
      </c>
      <c r="E71" s="54"/>
      <c r="F71" s="54" t="s">
        <v>150</v>
      </c>
      <c r="G71" s="54"/>
      <c r="H71" s="67">
        <v>4</v>
      </c>
      <c r="I71" s="74">
        <v>0.4</v>
      </c>
    </row>
    <row r="72" spans="1:9" ht="31.5" x14ac:dyDescent="0.25">
      <c r="A72" s="68"/>
      <c r="B72" s="68"/>
      <c r="C72" s="69" t="s">
        <v>6</v>
      </c>
      <c r="D72" s="68" t="s">
        <v>151</v>
      </c>
      <c r="E72" s="68"/>
      <c r="F72" s="68" t="s">
        <v>152</v>
      </c>
      <c r="G72" s="68"/>
      <c r="H72" s="69">
        <v>4</v>
      </c>
      <c r="I72" s="80">
        <v>0.4</v>
      </c>
    </row>
    <row r="73" spans="1:9" ht="31.5" x14ac:dyDescent="0.25">
      <c r="A73" s="42">
        <v>4</v>
      </c>
      <c r="B73" s="89" t="s">
        <v>173</v>
      </c>
      <c r="C73" s="58"/>
      <c r="D73" s="76"/>
      <c r="E73" s="42"/>
      <c r="F73" s="38"/>
      <c r="G73" s="84"/>
      <c r="H73" s="17"/>
      <c r="I73" s="70"/>
    </row>
    <row r="74" spans="1:9" ht="31.5" x14ac:dyDescent="0.25">
      <c r="A74" s="91"/>
      <c r="C74" s="71" t="s">
        <v>6</v>
      </c>
      <c r="D74" s="76" t="s">
        <v>153</v>
      </c>
      <c r="E74" s="31"/>
      <c r="F74" s="42" t="s">
        <v>154</v>
      </c>
      <c r="G74" s="30"/>
      <c r="H74" s="42">
        <v>4</v>
      </c>
      <c r="I74" s="85">
        <v>1.5</v>
      </c>
    </row>
    <row r="75" spans="1:9" ht="31.5" x14ac:dyDescent="0.25">
      <c r="A75" s="90"/>
      <c r="B75" s="57"/>
      <c r="C75" s="72" t="s">
        <v>6</v>
      </c>
      <c r="D75" s="105" t="s">
        <v>155</v>
      </c>
      <c r="E75" s="31"/>
      <c r="F75" s="86" t="s">
        <v>156</v>
      </c>
      <c r="G75" s="30"/>
      <c r="H75" s="39">
        <v>4</v>
      </c>
      <c r="I75" s="85">
        <v>0.75</v>
      </c>
    </row>
    <row r="76" spans="1:9" ht="31.5" x14ac:dyDescent="0.25">
      <c r="A76" s="45"/>
      <c r="B76" s="45"/>
      <c r="C76" s="39" t="s">
        <v>6</v>
      </c>
      <c r="D76" s="78" t="s">
        <v>157</v>
      </c>
      <c r="E76" s="31"/>
      <c r="F76" s="39" t="s">
        <v>158</v>
      </c>
      <c r="G76" s="30"/>
      <c r="H76" s="87">
        <v>4</v>
      </c>
      <c r="I76" s="85">
        <v>0.75</v>
      </c>
    </row>
    <row r="77" spans="1:9" ht="31.5" x14ac:dyDescent="0.25">
      <c r="A77" s="51">
        <v>5</v>
      </c>
      <c r="B77" s="57" t="s">
        <v>174</v>
      </c>
      <c r="C77" s="58"/>
      <c r="D77" s="76"/>
      <c r="E77" s="31"/>
      <c r="F77" s="42"/>
      <c r="G77" s="30"/>
      <c r="H77" s="42"/>
      <c r="I77" s="88"/>
    </row>
    <row r="78" spans="1:9" ht="31.5" x14ac:dyDescent="0.25">
      <c r="A78" s="61"/>
      <c r="B78" s="57"/>
      <c r="C78" s="72" t="s">
        <v>6</v>
      </c>
      <c r="D78" s="77" t="s">
        <v>159</v>
      </c>
      <c r="E78" s="31"/>
      <c r="F78" s="86" t="s">
        <v>160</v>
      </c>
      <c r="G78" s="30"/>
      <c r="H78" s="39">
        <v>4</v>
      </c>
      <c r="I78" s="85">
        <v>0.4</v>
      </c>
    </row>
    <row r="79" spans="1:9" ht="31.5" x14ac:dyDescent="0.25">
      <c r="A79" s="45"/>
      <c r="B79" s="45"/>
      <c r="C79" s="39" t="s">
        <v>6</v>
      </c>
      <c r="D79" s="78" t="s">
        <v>161</v>
      </c>
      <c r="E79" s="31"/>
      <c r="F79" s="39" t="s">
        <v>162</v>
      </c>
      <c r="G79" s="30"/>
      <c r="H79" s="87">
        <v>4</v>
      </c>
      <c r="I79" s="85">
        <v>0.3</v>
      </c>
    </row>
    <row r="80" spans="1:9" ht="31.5" x14ac:dyDescent="0.25">
      <c r="A80" s="51"/>
      <c r="B80" s="57"/>
      <c r="C80" s="51" t="s">
        <v>6</v>
      </c>
      <c r="D80" s="79" t="s">
        <v>163</v>
      </c>
      <c r="E80" s="31"/>
      <c r="F80" s="42" t="s">
        <v>164</v>
      </c>
      <c r="G80" s="30"/>
      <c r="H80" s="42">
        <v>4</v>
      </c>
      <c r="I80" s="85">
        <v>0.3</v>
      </c>
    </row>
    <row r="81" spans="1:9" x14ac:dyDescent="0.25">
      <c r="A81" s="51">
        <v>6</v>
      </c>
      <c r="B81" s="57" t="s">
        <v>175</v>
      </c>
      <c r="C81" s="51"/>
      <c r="D81" s="79"/>
      <c r="E81" s="31"/>
      <c r="F81" s="42"/>
      <c r="G81" s="30"/>
      <c r="H81" s="39"/>
      <c r="I81" s="75"/>
    </row>
    <row r="82" spans="1:9" x14ac:dyDescent="0.25">
      <c r="A82" s="51"/>
      <c r="B82" s="57"/>
      <c r="C82" s="51" t="s">
        <v>6</v>
      </c>
      <c r="D82" s="79" t="s">
        <v>165</v>
      </c>
      <c r="E82" s="31"/>
      <c r="F82" s="42" t="s">
        <v>166</v>
      </c>
      <c r="G82" s="30"/>
      <c r="H82" s="42">
        <v>4</v>
      </c>
      <c r="I82" s="85">
        <v>0.6</v>
      </c>
    </row>
    <row r="83" spans="1:9" ht="31.5" x14ac:dyDescent="0.25">
      <c r="A83" s="39"/>
      <c r="B83" s="45"/>
      <c r="C83" s="39" t="s">
        <v>6</v>
      </c>
      <c r="D83" s="78" t="s">
        <v>167</v>
      </c>
      <c r="E83" s="31"/>
      <c r="F83" s="39" t="s">
        <v>168</v>
      </c>
      <c r="G83" s="30"/>
      <c r="H83" s="39">
        <v>4</v>
      </c>
      <c r="I83" s="85">
        <v>0.8</v>
      </c>
    </row>
    <row r="84" spans="1:9" ht="31.5" x14ac:dyDescent="0.25">
      <c r="A84" s="51"/>
      <c r="B84" s="57"/>
      <c r="C84" s="71" t="s">
        <v>6</v>
      </c>
      <c r="D84" s="76" t="s">
        <v>169</v>
      </c>
      <c r="E84" s="31"/>
      <c r="F84" s="42" t="s">
        <v>170</v>
      </c>
      <c r="G84" s="30"/>
      <c r="H84" s="87">
        <v>4</v>
      </c>
      <c r="I84" s="85">
        <v>0.8</v>
      </c>
    </row>
    <row r="85" spans="1:9" ht="31.5" x14ac:dyDescent="0.25">
      <c r="A85" s="69"/>
      <c r="B85" s="68"/>
      <c r="C85" s="92" t="s">
        <v>6</v>
      </c>
      <c r="D85" s="93" t="s">
        <v>171</v>
      </c>
      <c r="E85" s="94"/>
      <c r="F85" s="95" t="s">
        <v>172</v>
      </c>
      <c r="G85" s="96"/>
      <c r="H85" s="95">
        <v>4</v>
      </c>
      <c r="I85" s="97">
        <v>0.7</v>
      </c>
    </row>
    <row r="86" spans="1:9" x14ac:dyDescent="0.25">
      <c r="A86" s="86">
        <v>7</v>
      </c>
      <c r="B86" s="38" t="s">
        <v>176</v>
      </c>
      <c r="C86" s="98"/>
      <c r="D86" s="99"/>
      <c r="E86" s="31"/>
      <c r="F86" s="86"/>
      <c r="G86" s="30"/>
      <c r="H86" s="39"/>
      <c r="I86" s="75"/>
    </row>
    <row r="87" spans="1:9" ht="31.5" x14ac:dyDescent="0.25">
      <c r="A87" s="70"/>
      <c r="B87" s="70"/>
      <c r="C87" s="42" t="s">
        <v>6</v>
      </c>
      <c r="D87" s="38" t="s">
        <v>177</v>
      </c>
      <c r="E87" s="31"/>
      <c r="F87" s="42" t="s">
        <v>178</v>
      </c>
      <c r="G87" s="30"/>
      <c r="H87" s="42">
        <v>4</v>
      </c>
      <c r="I87" s="100">
        <v>1</v>
      </c>
    </row>
    <row r="88" spans="1:9" ht="31.5" x14ac:dyDescent="0.25">
      <c r="A88" s="70"/>
      <c r="B88" s="70"/>
      <c r="C88" s="39" t="s">
        <v>6</v>
      </c>
      <c r="D88" s="45" t="s">
        <v>179</v>
      </c>
      <c r="E88" s="31"/>
      <c r="F88" s="39" t="s">
        <v>180</v>
      </c>
      <c r="G88" s="30"/>
      <c r="H88" s="39">
        <v>4</v>
      </c>
      <c r="I88" s="40">
        <v>0.3</v>
      </c>
    </row>
    <row r="89" spans="1:9" ht="31.5" x14ac:dyDescent="0.25">
      <c r="A89" s="70"/>
      <c r="B89" s="70"/>
      <c r="C89" s="42" t="s">
        <v>6</v>
      </c>
      <c r="D89" s="38" t="s">
        <v>181</v>
      </c>
      <c r="E89" s="31"/>
      <c r="F89" s="42" t="s">
        <v>182</v>
      </c>
      <c r="G89" s="30"/>
      <c r="H89" s="42">
        <v>4</v>
      </c>
      <c r="I89" s="100">
        <v>0.8</v>
      </c>
    </row>
    <row r="90" spans="1:9" ht="31.5" x14ac:dyDescent="0.25">
      <c r="A90" s="70"/>
      <c r="B90" s="70"/>
      <c r="C90" s="42" t="s">
        <v>6</v>
      </c>
      <c r="D90" s="38" t="s">
        <v>183</v>
      </c>
      <c r="E90" s="31"/>
      <c r="F90" s="42" t="s">
        <v>184</v>
      </c>
      <c r="G90" s="30"/>
      <c r="H90" s="42">
        <v>4</v>
      </c>
      <c r="I90" s="100">
        <v>0.3</v>
      </c>
    </row>
    <row r="91" spans="1:9" x14ac:dyDescent="0.25">
      <c r="A91" s="86">
        <v>8</v>
      </c>
      <c r="B91" s="38" t="s">
        <v>186</v>
      </c>
      <c r="C91" s="86"/>
      <c r="D91" s="38"/>
      <c r="E91" s="86"/>
      <c r="F91" s="42"/>
      <c r="G91" s="86"/>
      <c r="H91" s="42"/>
      <c r="I91" s="101"/>
    </row>
    <row r="92" spans="1:9" x14ac:dyDescent="0.25">
      <c r="A92" s="86"/>
      <c r="B92" s="38"/>
      <c r="C92" s="86" t="s">
        <v>6</v>
      </c>
      <c r="D92" s="38" t="s">
        <v>187</v>
      </c>
      <c r="E92" s="86"/>
      <c r="F92" s="42" t="s">
        <v>166</v>
      </c>
      <c r="G92" s="86"/>
      <c r="H92" s="42">
        <v>4</v>
      </c>
      <c r="I92" s="101">
        <v>0.4</v>
      </c>
    </row>
    <row r="93" spans="1:9" ht="31.5" x14ac:dyDescent="0.25">
      <c r="A93" s="86"/>
      <c r="B93" s="38"/>
      <c r="C93" s="86" t="s">
        <v>6</v>
      </c>
      <c r="D93" s="38" t="s">
        <v>188</v>
      </c>
      <c r="E93" s="86"/>
      <c r="F93" s="42" t="s">
        <v>189</v>
      </c>
      <c r="G93" s="86"/>
      <c r="H93" s="42">
        <v>4</v>
      </c>
      <c r="I93" s="101">
        <v>1</v>
      </c>
    </row>
    <row r="94" spans="1:9" ht="31.5" x14ac:dyDescent="0.25">
      <c r="A94" s="86"/>
      <c r="B94" s="38"/>
      <c r="C94" s="86" t="s">
        <v>6</v>
      </c>
      <c r="D94" s="38" t="s">
        <v>190</v>
      </c>
      <c r="E94" s="86"/>
      <c r="F94" s="42" t="s">
        <v>191</v>
      </c>
      <c r="G94" s="86"/>
      <c r="H94" s="42">
        <v>6</v>
      </c>
      <c r="I94" s="101">
        <v>1</v>
      </c>
    </row>
    <row r="95" spans="1:9" ht="31.5" x14ac:dyDescent="0.25">
      <c r="A95" s="86"/>
      <c r="B95" s="38"/>
      <c r="C95" s="86" t="s">
        <v>6</v>
      </c>
      <c r="D95" s="38" t="s">
        <v>192</v>
      </c>
      <c r="E95" s="86"/>
      <c r="F95" s="42" t="s">
        <v>193</v>
      </c>
      <c r="G95" s="86"/>
      <c r="H95" s="42">
        <v>4</v>
      </c>
      <c r="I95" s="101">
        <v>0.8</v>
      </c>
    </row>
    <row r="96" spans="1:9" x14ac:dyDescent="0.25">
      <c r="A96" s="51">
        <v>9</v>
      </c>
      <c r="B96" s="57" t="s">
        <v>185</v>
      </c>
      <c r="C96" s="71"/>
      <c r="D96" s="76"/>
      <c r="E96" s="31"/>
      <c r="F96" s="42"/>
      <c r="G96" s="30"/>
      <c r="H96" s="87"/>
      <c r="I96" s="88"/>
    </row>
    <row r="97" spans="1:9" ht="31.5" x14ac:dyDescent="0.25">
      <c r="A97" s="51"/>
      <c r="B97" s="57"/>
      <c r="C97" s="102" t="s">
        <v>6</v>
      </c>
      <c r="D97" s="76" t="s">
        <v>194</v>
      </c>
      <c r="E97" s="31"/>
      <c r="F97" s="42" t="s">
        <v>199</v>
      </c>
      <c r="G97" s="30"/>
      <c r="H97" s="42">
        <v>6</v>
      </c>
      <c r="I97" s="85">
        <v>1</v>
      </c>
    </row>
    <row r="98" spans="1:9" ht="31.5" x14ac:dyDescent="0.25">
      <c r="A98" s="61"/>
      <c r="B98" s="57"/>
      <c r="C98" s="65" t="s">
        <v>6</v>
      </c>
      <c r="D98" s="76" t="s">
        <v>195</v>
      </c>
      <c r="E98" s="31"/>
      <c r="F98" s="42" t="s">
        <v>199</v>
      </c>
      <c r="G98" s="30"/>
      <c r="H98" s="39">
        <v>6</v>
      </c>
      <c r="I98" s="85">
        <v>1</v>
      </c>
    </row>
    <row r="99" spans="1:9" ht="31.5" x14ac:dyDescent="0.25">
      <c r="A99" s="45"/>
      <c r="B99" s="45"/>
      <c r="C99" s="39" t="s">
        <v>6</v>
      </c>
      <c r="D99" s="76" t="s">
        <v>196</v>
      </c>
      <c r="E99" s="31"/>
      <c r="F99" s="42" t="s">
        <v>199</v>
      </c>
      <c r="G99" s="30"/>
      <c r="H99" s="87">
        <v>6</v>
      </c>
      <c r="I99" s="85">
        <v>1</v>
      </c>
    </row>
    <row r="100" spans="1:9" ht="31.5" x14ac:dyDescent="0.25">
      <c r="A100" s="7"/>
      <c r="B100" s="8"/>
      <c r="C100" s="39" t="s">
        <v>6</v>
      </c>
      <c r="D100" s="76" t="s">
        <v>197</v>
      </c>
      <c r="E100" s="81"/>
      <c r="F100" s="42" t="s">
        <v>199</v>
      </c>
      <c r="G100" s="82"/>
      <c r="H100" s="42">
        <v>6</v>
      </c>
      <c r="I100" s="83">
        <v>1</v>
      </c>
    </row>
    <row r="101" spans="1:9" ht="31.5" x14ac:dyDescent="0.25">
      <c r="A101" s="7"/>
      <c r="B101" s="8"/>
      <c r="C101" s="39" t="s">
        <v>6</v>
      </c>
      <c r="D101" s="76" t="s">
        <v>198</v>
      </c>
      <c r="E101" s="7"/>
      <c r="F101" s="42" t="s">
        <v>199</v>
      </c>
      <c r="G101" s="9"/>
      <c r="H101" s="39">
        <v>6</v>
      </c>
      <c r="I101" s="18">
        <v>1</v>
      </c>
    </row>
    <row r="102" spans="1:9" x14ac:dyDescent="0.25">
      <c r="A102" s="42">
        <v>10</v>
      </c>
      <c r="B102" s="42" t="s">
        <v>200</v>
      </c>
      <c r="C102" s="42"/>
      <c r="D102" s="42"/>
      <c r="E102" s="42"/>
      <c r="F102" s="42"/>
      <c r="G102" s="42"/>
      <c r="H102" s="67"/>
      <c r="I102" s="18"/>
    </row>
    <row r="103" spans="1:9" ht="47.25" x14ac:dyDescent="0.25">
      <c r="A103" s="42"/>
      <c r="B103" s="42"/>
      <c r="C103" s="42" t="s">
        <v>6</v>
      </c>
      <c r="D103" s="42" t="s">
        <v>204</v>
      </c>
      <c r="E103" s="42"/>
      <c r="F103" s="42" t="s">
        <v>205</v>
      </c>
      <c r="G103" s="42"/>
      <c r="H103" s="42">
        <v>4</v>
      </c>
      <c r="I103" s="85">
        <v>1.5</v>
      </c>
    </row>
    <row r="104" spans="1:9" ht="31.5" x14ac:dyDescent="0.25">
      <c r="A104" s="42"/>
      <c r="B104" s="42"/>
      <c r="C104" s="42" t="s">
        <v>6</v>
      </c>
      <c r="D104" s="42" t="s">
        <v>206</v>
      </c>
      <c r="E104" s="42"/>
      <c r="F104" s="42" t="s">
        <v>207</v>
      </c>
      <c r="G104" s="42"/>
      <c r="H104" s="39">
        <v>4</v>
      </c>
      <c r="I104" s="85">
        <v>1.2</v>
      </c>
    </row>
    <row r="105" spans="1:9" ht="31.5" x14ac:dyDescent="0.25">
      <c r="A105" s="42"/>
      <c r="B105" s="42"/>
      <c r="C105" s="42" t="s">
        <v>6</v>
      </c>
      <c r="D105" s="42" t="s">
        <v>208</v>
      </c>
      <c r="E105" s="42"/>
      <c r="F105" s="42" t="s">
        <v>209</v>
      </c>
      <c r="G105" s="42"/>
      <c r="H105" s="87">
        <v>4</v>
      </c>
      <c r="I105" s="83">
        <v>1.2</v>
      </c>
    </row>
    <row r="106" spans="1:9" ht="31.5" x14ac:dyDescent="0.25">
      <c r="A106" s="42"/>
      <c r="B106" s="42"/>
      <c r="C106" s="42" t="s">
        <v>6</v>
      </c>
      <c r="D106" s="42" t="s">
        <v>210</v>
      </c>
      <c r="E106" s="42"/>
      <c r="F106" s="42" t="s">
        <v>211</v>
      </c>
      <c r="G106" s="42"/>
      <c r="H106" s="42">
        <v>4</v>
      </c>
      <c r="I106" s="85">
        <v>1.2</v>
      </c>
    </row>
    <row r="107" spans="1:9" ht="31.5" x14ac:dyDescent="0.25">
      <c r="A107" s="42"/>
      <c r="B107" s="42"/>
      <c r="C107" s="42" t="s">
        <v>6</v>
      </c>
      <c r="D107" s="42" t="s">
        <v>212</v>
      </c>
      <c r="E107" s="42"/>
      <c r="F107" s="42" t="s">
        <v>213</v>
      </c>
      <c r="G107" s="42"/>
      <c r="H107" s="39">
        <v>4</v>
      </c>
      <c r="I107" s="85">
        <v>0.9</v>
      </c>
    </row>
    <row r="108" spans="1:9" ht="31.5" x14ac:dyDescent="0.25">
      <c r="A108" s="42"/>
      <c r="B108" s="42"/>
      <c r="C108" s="42" t="s">
        <v>6</v>
      </c>
      <c r="D108" s="42" t="s">
        <v>214</v>
      </c>
      <c r="E108" s="42"/>
      <c r="F108" s="42" t="s">
        <v>215</v>
      </c>
      <c r="G108" s="42"/>
      <c r="H108" s="39">
        <v>4</v>
      </c>
      <c r="I108" s="83">
        <v>0.6</v>
      </c>
    </row>
    <row r="109" spans="1:9" x14ac:dyDescent="0.25">
      <c r="A109" s="7">
        <v>11</v>
      </c>
      <c r="B109" s="8" t="s">
        <v>201</v>
      </c>
      <c r="C109" s="7"/>
      <c r="D109" s="9"/>
      <c r="E109" s="7"/>
      <c r="F109" s="9"/>
      <c r="G109" s="9"/>
      <c r="H109" s="103"/>
      <c r="I109" s="18"/>
    </row>
    <row r="110" spans="1:9" ht="47.25" x14ac:dyDescent="0.25">
      <c r="A110" s="42"/>
      <c r="B110" s="42"/>
      <c r="C110" s="42" t="s">
        <v>6</v>
      </c>
      <c r="D110" s="42" t="s">
        <v>216</v>
      </c>
      <c r="E110" s="42"/>
      <c r="F110" s="42" t="s">
        <v>217</v>
      </c>
      <c r="G110" s="42"/>
      <c r="H110" s="42">
        <v>4</v>
      </c>
      <c r="I110" s="85">
        <v>0.9</v>
      </c>
    </row>
    <row r="111" spans="1:9" ht="31.5" x14ac:dyDescent="0.25">
      <c r="A111" s="42"/>
      <c r="B111" s="42"/>
      <c r="C111" s="42" t="s">
        <v>6</v>
      </c>
      <c r="D111" s="42" t="s">
        <v>218</v>
      </c>
      <c r="E111" s="42"/>
      <c r="F111" s="42" t="s">
        <v>219</v>
      </c>
      <c r="G111" s="42"/>
      <c r="H111" s="42">
        <v>4</v>
      </c>
      <c r="I111" s="83">
        <v>0.6</v>
      </c>
    </row>
    <row r="112" spans="1:9" ht="31.5" x14ac:dyDescent="0.25">
      <c r="A112" s="42"/>
      <c r="B112" s="42"/>
      <c r="C112" s="42" t="s">
        <v>6</v>
      </c>
      <c r="D112" s="42" t="s">
        <v>220</v>
      </c>
      <c r="E112" s="42"/>
      <c r="F112" s="42" t="s">
        <v>221</v>
      </c>
      <c r="G112" s="42"/>
      <c r="H112" s="42">
        <v>4</v>
      </c>
      <c r="I112" s="85">
        <v>0.5</v>
      </c>
    </row>
    <row r="113" spans="1:9" ht="31.5" x14ac:dyDescent="0.25">
      <c r="A113" s="42"/>
      <c r="B113" s="42"/>
      <c r="C113" s="42" t="s">
        <v>6</v>
      </c>
      <c r="D113" s="42" t="s">
        <v>222</v>
      </c>
      <c r="E113" s="42"/>
      <c r="F113" s="42" t="s">
        <v>223</v>
      </c>
      <c r="G113" s="42"/>
      <c r="H113" s="42">
        <v>4</v>
      </c>
      <c r="I113" s="85">
        <v>0.5</v>
      </c>
    </row>
    <row r="114" spans="1:9" x14ac:dyDescent="0.25">
      <c r="A114" s="42"/>
      <c r="B114" s="42"/>
      <c r="C114" s="42" t="s">
        <v>6</v>
      </c>
      <c r="D114" s="42" t="s">
        <v>224</v>
      </c>
      <c r="E114" s="42"/>
      <c r="F114" s="42" t="s">
        <v>225</v>
      </c>
      <c r="G114" s="42"/>
      <c r="H114" s="42">
        <v>4</v>
      </c>
      <c r="I114" s="83">
        <v>0.4</v>
      </c>
    </row>
    <row r="115" spans="1:9" ht="31.5" x14ac:dyDescent="0.25">
      <c r="A115" s="42"/>
      <c r="B115" s="42"/>
      <c r="C115" s="42" t="s">
        <v>6</v>
      </c>
      <c r="D115" s="42" t="s">
        <v>226</v>
      </c>
      <c r="E115" s="42"/>
      <c r="F115" s="42" t="s">
        <v>227</v>
      </c>
      <c r="G115" s="42"/>
      <c r="H115" s="42">
        <v>4</v>
      </c>
      <c r="I115" s="85">
        <v>0.6</v>
      </c>
    </row>
    <row r="116" spans="1:9" x14ac:dyDescent="0.25">
      <c r="A116" s="42">
        <v>12</v>
      </c>
      <c r="B116" s="42" t="s">
        <v>202</v>
      </c>
      <c r="C116" s="42"/>
      <c r="D116" s="42"/>
      <c r="E116" s="42"/>
      <c r="F116" s="42"/>
      <c r="G116" s="42"/>
      <c r="H116" s="42"/>
      <c r="I116" s="42"/>
    </row>
    <row r="117" spans="1:9" ht="31.5" x14ac:dyDescent="0.25">
      <c r="A117" s="42"/>
      <c r="B117" s="42"/>
      <c r="C117" s="42" t="s">
        <v>6</v>
      </c>
      <c r="D117" s="42" t="s">
        <v>228</v>
      </c>
      <c r="E117" s="42"/>
      <c r="F117" s="42" t="s">
        <v>229</v>
      </c>
      <c r="G117" s="30"/>
      <c r="H117" s="42">
        <v>4</v>
      </c>
      <c r="I117" s="85">
        <v>0.8</v>
      </c>
    </row>
    <row r="118" spans="1:9" ht="31.5" x14ac:dyDescent="0.25">
      <c r="A118" s="42"/>
      <c r="B118" s="42"/>
      <c r="C118" s="42" t="s">
        <v>6</v>
      </c>
      <c r="D118" s="42" t="s">
        <v>230</v>
      </c>
      <c r="E118" s="42"/>
      <c r="F118" s="42" t="s">
        <v>231</v>
      </c>
      <c r="G118" s="30"/>
      <c r="H118" s="42">
        <v>4</v>
      </c>
      <c r="I118" s="83">
        <v>0.8</v>
      </c>
    </row>
    <row r="119" spans="1:9" ht="31.5" x14ac:dyDescent="0.25">
      <c r="A119" s="42"/>
      <c r="B119" s="42"/>
      <c r="C119" s="42" t="s">
        <v>6</v>
      </c>
      <c r="D119" s="42" t="s">
        <v>232</v>
      </c>
      <c r="E119" s="42"/>
      <c r="F119" s="42" t="s">
        <v>233</v>
      </c>
      <c r="G119" s="30"/>
      <c r="H119" s="42">
        <v>4</v>
      </c>
      <c r="I119" s="85">
        <v>0.7</v>
      </c>
    </row>
    <row r="120" spans="1:9" ht="31.5" x14ac:dyDescent="0.25">
      <c r="A120" s="42"/>
      <c r="B120" s="42"/>
      <c r="C120" s="42" t="s">
        <v>6</v>
      </c>
      <c r="D120" s="42" t="s">
        <v>234</v>
      </c>
      <c r="E120" s="42"/>
      <c r="F120" s="42" t="s">
        <v>235</v>
      </c>
      <c r="G120" s="30"/>
      <c r="H120" s="42">
        <v>4</v>
      </c>
      <c r="I120" s="85">
        <v>0.6</v>
      </c>
    </row>
    <row r="121" spans="1:9" ht="31.5" x14ac:dyDescent="0.25">
      <c r="A121" s="42"/>
      <c r="B121" s="42"/>
      <c r="C121" s="42" t="s">
        <v>6</v>
      </c>
      <c r="D121" s="42" t="s">
        <v>236</v>
      </c>
      <c r="E121" s="42"/>
      <c r="F121" s="42" t="s">
        <v>237</v>
      </c>
      <c r="G121" s="30"/>
      <c r="H121" s="42">
        <v>4</v>
      </c>
      <c r="I121" s="83">
        <v>0.4</v>
      </c>
    </row>
    <row r="122" spans="1:9" x14ac:dyDescent="0.25">
      <c r="A122" s="7">
        <v>13</v>
      </c>
      <c r="B122" s="8" t="s">
        <v>203</v>
      </c>
      <c r="C122" s="7"/>
      <c r="D122" s="9"/>
      <c r="E122" s="7"/>
      <c r="F122" s="9"/>
      <c r="G122" s="9"/>
      <c r="H122" s="39"/>
      <c r="I122" s="18"/>
    </row>
    <row r="123" spans="1:9" ht="31.5" x14ac:dyDescent="0.25">
      <c r="A123" s="42"/>
      <c r="B123" s="42"/>
      <c r="C123" s="42" t="s">
        <v>6</v>
      </c>
      <c r="D123" s="42" t="s">
        <v>238</v>
      </c>
      <c r="E123" s="42"/>
      <c r="F123" s="42" t="s">
        <v>239</v>
      </c>
      <c r="G123" s="42"/>
      <c r="H123" s="42">
        <v>4</v>
      </c>
      <c r="I123" s="85">
        <v>0.8</v>
      </c>
    </row>
    <row r="124" spans="1:9" ht="31.5" x14ac:dyDescent="0.25">
      <c r="A124" s="42"/>
      <c r="B124" s="42"/>
      <c r="C124" s="42" t="s">
        <v>6</v>
      </c>
      <c r="D124" s="42" t="s">
        <v>240</v>
      </c>
      <c r="E124" s="42"/>
      <c r="F124" s="42" t="s">
        <v>241</v>
      </c>
      <c r="G124" s="42"/>
      <c r="H124" s="42">
        <v>4</v>
      </c>
      <c r="I124" s="83">
        <v>0.6</v>
      </c>
    </row>
    <row r="125" spans="1:9" ht="31.5" x14ac:dyDescent="0.25">
      <c r="A125" s="42"/>
      <c r="B125" s="42"/>
      <c r="C125" s="42" t="s">
        <v>6</v>
      </c>
      <c r="D125" s="42" t="s">
        <v>242</v>
      </c>
      <c r="E125" s="42"/>
      <c r="F125" s="42" t="s">
        <v>166</v>
      </c>
      <c r="G125" s="42"/>
      <c r="H125" s="42">
        <v>4</v>
      </c>
      <c r="I125" s="85">
        <v>0.5</v>
      </c>
    </row>
    <row r="126" spans="1:9" ht="31.5" x14ac:dyDescent="0.25">
      <c r="A126" s="42"/>
      <c r="B126" s="42"/>
      <c r="C126" s="42" t="s">
        <v>6</v>
      </c>
      <c r="D126" s="42" t="s">
        <v>243</v>
      </c>
      <c r="E126" s="42"/>
      <c r="F126" s="42" t="s">
        <v>244</v>
      </c>
      <c r="G126" s="42"/>
      <c r="H126" s="42">
        <v>4</v>
      </c>
      <c r="I126" s="85">
        <v>0.8</v>
      </c>
    </row>
    <row r="127" spans="1:9" ht="47.25" x14ac:dyDescent="0.25">
      <c r="A127" s="42"/>
      <c r="B127" s="42"/>
      <c r="C127" s="42" t="s">
        <v>6</v>
      </c>
      <c r="D127" s="42" t="s">
        <v>245</v>
      </c>
      <c r="E127" s="42"/>
      <c r="F127" s="42" t="s">
        <v>246</v>
      </c>
      <c r="G127" s="42"/>
      <c r="H127" s="42">
        <v>4</v>
      </c>
      <c r="I127" s="83">
        <v>0.8</v>
      </c>
    </row>
    <row r="128" spans="1:9" ht="31.5" x14ac:dyDescent="0.25">
      <c r="A128" s="42"/>
      <c r="B128" s="42"/>
      <c r="C128" s="42" t="s">
        <v>6</v>
      </c>
      <c r="D128" s="42" t="s">
        <v>247</v>
      </c>
      <c r="E128" s="42"/>
      <c r="F128" s="42" t="s">
        <v>248</v>
      </c>
      <c r="G128" s="42"/>
      <c r="H128" s="42">
        <v>4</v>
      </c>
      <c r="I128" s="85">
        <v>0.7</v>
      </c>
    </row>
    <row r="129" spans="1:9" ht="31.5" x14ac:dyDescent="0.25">
      <c r="A129" s="42"/>
      <c r="B129" s="42"/>
      <c r="C129" s="42" t="s">
        <v>6</v>
      </c>
      <c r="D129" s="42" t="s">
        <v>249</v>
      </c>
      <c r="E129" s="42"/>
      <c r="F129" s="42" t="s">
        <v>250</v>
      </c>
      <c r="G129" s="42"/>
      <c r="H129" s="42">
        <v>4</v>
      </c>
      <c r="I129" s="83">
        <v>0.5</v>
      </c>
    </row>
    <row r="130" spans="1:9" x14ac:dyDescent="0.25">
      <c r="A130" s="7">
        <v>14</v>
      </c>
      <c r="B130" s="8" t="s">
        <v>251</v>
      </c>
      <c r="C130" s="7"/>
      <c r="D130" s="9"/>
      <c r="E130" s="7"/>
      <c r="F130" s="9"/>
      <c r="G130" s="9"/>
      <c r="H130" s="56"/>
      <c r="I130" s="18"/>
    </row>
    <row r="131" spans="1:9" ht="78.75" x14ac:dyDescent="0.25">
      <c r="A131" s="42"/>
      <c r="B131" s="42"/>
      <c r="C131" s="42" t="s">
        <v>6</v>
      </c>
      <c r="D131" s="42" t="s">
        <v>255</v>
      </c>
      <c r="E131" s="42"/>
      <c r="F131" s="42" t="s">
        <v>256</v>
      </c>
      <c r="G131" s="42"/>
      <c r="H131" s="42">
        <v>4</v>
      </c>
      <c r="I131" s="85">
        <v>1.2</v>
      </c>
    </row>
    <row r="132" spans="1:9" ht="63" x14ac:dyDescent="0.25">
      <c r="A132" s="42"/>
      <c r="B132" s="42"/>
      <c r="C132" s="42" t="s">
        <v>6</v>
      </c>
      <c r="D132" s="42" t="s">
        <v>257</v>
      </c>
      <c r="E132" s="42"/>
      <c r="F132" s="42" t="s">
        <v>258</v>
      </c>
      <c r="G132" s="42"/>
      <c r="H132" s="42">
        <v>6</v>
      </c>
      <c r="I132" s="83">
        <v>1</v>
      </c>
    </row>
    <row r="133" spans="1:9" ht="47.25" x14ac:dyDescent="0.25">
      <c r="A133" s="42"/>
      <c r="B133" s="42"/>
      <c r="C133" s="42" t="s">
        <v>6</v>
      </c>
      <c r="D133" s="42" t="s">
        <v>259</v>
      </c>
      <c r="E133" s="42"/>
      <c r="F133" s="42" t="s">
        <v>260</v>
      </c>
      <c r="G133" s="42"/>
      <c r="H133" s="42">
        <v>4</v>
      </c>
      <c r="I133" s="85">
        <v>0.6</v>
      </c>
    </row>
    <row r="134" spans="1:9" ht="47.25" x14ac:dyDescent="0.25">
      <c r="A134" s="42"/>
      <c r="B134" s="42"/>
      <c r="C134" s="42" t="s">
        <v>6</v>
      </c>
      <c r="D134" s="42" t="s">
        <v>261</v>
      </c>
      <c r="E134" s="42"/>
      <c r="F134" s="42" t="s">
        <v>262</v>
      </c>
      <c r="G134" s="42"/>
      <c r="H134" s="42">
        <v>6</v>
      </c>
      <c r="I134" s="85">
        <v>0.5</v>
      </c>
    </row>
    <row r="135" spans="1:9" ht="47.25" x14ac:dyDescent="0.25">
      <c r="A135" s="42"/>
      <c r="B135" s="42"/>
      <c r="C135" s="42" t="s">
        <v>6</v>
      </c>
      <c r="D135" s="42" t="s">
        <v>263</v>
      </c>
      <c r="E135" s="42"/>
      <c r="F135" s="42" t="s">
        <v>264</v>
      </c>
      <c r="G135" s="42"/>
      <c r="H135" s="42">
        <v>4</v>
      </c>
      <c r="I135" s="83">
        <v>0.7</v>
      </c>
    </row>
    <row r="136" spans="1:9" x14ac:dyDescent="0.25">
      <c r="A136" s="7">
        <v>15</v>
      </c>
      <c r="B136" s="8" t="s">
        <v>252</v>
      </c>
      <c r="C136" s="7"/>
      <c r="D136" s="9"/>
      <c r="E136" s="7"/>
      <c r="F136" s="9"/>
      <c r="G136" s="9"/>
      <c r="H136" s="56"/>
      <c r="I136" s="18"/>
    </row>
    <row r="137" spans="1:9" ht="63" x14ac:dyDescent="0.25">
      <c r="A137" s="42"/>
      <c r="B137" s="42"/>
      <c r="C137" s="42" t="s">
        <v>6</v>
      </c>
      <c r="D137" s="42" t="s">
        <v>265</v>
      </c>
      <c r="E137" s="42"/>
      <c r="F137" s="42" t="s">
        <v>266</v>
      </c>
      <c r="G137" s="42"/>
      <c r="H137" s="42">
        <v>6</v>
      </c>
      <c r="I137" s="85">
        <v>0.5</v>
      </c>
    </row>
    <row r="138" spans="1:9" ht="47.25" x14ac:dyDescent="0.25">
      <c r="A138" s="42"/>
      <c r="B138" s="42"/>
      <c r="C138" s="42" t="s">
        <v>6</v>
      </c>
      <c r="D138" s="42" t="s">
        <v>267</v>
      </c>
      <c r="E138" s="42"/>
      <c r="F138" s="42" t="s">
        <v>268</v>
      </c>
      <c r="G138" s="42"/>
      <c r="H138" s="42">
        <v>4</v>
      </c>
      <c r="I138" s="85">
        <v>0.4</v>
      </c>
    </row>
    <row r="139" spans="1:9" ht="47.25" x14ac:dyDescent="0.25">
      <c r="A139" s="42"/>
      <c r="B139" s="42"/>
      <c r="C139" s="42" t="s">
        <v>6</v>
      </c>
      <c r="D139" s="42" t="s">
        <v>269</v>
      </c>
      <c r="E139" s="42"/>
      <c r="F139" s="42" t="s">
        <v>270</v>
      </c>
      <c r="G139" s="42"/>
      <c r="H139" s="42">
        <v>4</v>
      </c>
      <c r="I139" s="83">
        <v>0.3</v>
      </c>
    </row>
    <row r="140" spans="1:9" x14ac:dyDescent="0.25">
      <c r="A140" s="7">
        <v>16</v>
      </c>
      <c r="B140" s="8" t="s">
        <v>253</v>
      </c>
      <c r="C140" s="7"/>
      <c r="D140" s="9"/>
      <c r="E140" s="7"/>
      <c r="F140" s="9"/>
      <c r="G140" s="9"/>
      <c r="H140" s="42"/>
      <c r="I140" s="18"/>
    </row>
    <row r="141" spans="1:9" ht="63" x14ac:dyDescent="0.25">
      <c r="A141" s="42"/>
      <c r="B141" s="42"/>
      <c r="C141" s="42" t="s">
        <v>6</v>
      </c>
      <c r="D141" s="42" t="s">
        <v>271</v>
      </c>
      <c r="E141" s="42"/>
      <c r="F141" s="42" t="s">
        <v>272</v>
      </c>
      <c r="G141" s="42"/>
      <c r="H141" s="42">
        <v>4</v>
      </c>
      <c r="I141" s="85">
        <v>0.8</v>
      </c>
    </row>
    <row r="142" spans="1:9" ht="47.25" x14ac:dyDescent="0.25">
      <c r="A142" s="42"/>
      <c r="B142" s="42"/>
      <c r="C142" s="42" t="s">
        <v>6</v>
      </c>
      <c r="D142" s="42" t="s">
        <v>273</v>
      </c>
      <c r="E142" s="42"/>
      <c r="F142" s="42" t="s">
        <v>274</v>
      </c>
      <c r="G142" s="42"/>
      <c r="H142" s="42">
        <v>4</v>
      </c>
      <c r="I142" s="85">
        <v>0.6</v>
      </c>
    </row>
    <row r="143" spans="1:9" ht="47.25" x14ac:dyDescent="0.25">
      <c r="A143" s="42"/>
      <c r="B143" s="42"/>
      <c r="C143" s="42" t="s">
        <v>6</v>
      </c>
      <c r="D143" s="42" t="s">
        <v>275</v>
      </c>
      <c r="E143" s="42"/>
      <c r="F143" s="42" t="s">
        <v>276</v>
      </c>
      <c r="G143" s="42"/>
      <c r="H143" s="42">
        <v>4</v>
      </c>
      <c r="I143" s="83">
        <v>0.5</v>
      </c>
    </row>
    <row r="144" spans="1:9" ht="31.5" x14ac:dyDescent="0.25">
      <c r="A144" s="42"/>
      <c r="B144" s="42"/>
      <c r="C144" s="42" t="s">
        <v>6</v>
      </c>
      <c r="D144" s="42" t="s">
        <v>277</v>
      </c>
      <c r="E144" s="42"/>
      <c r="F144" s="42" t="s">
        <v>278</v>
      </c>
      <c r="G144" s="42"/>
      <c r="H144" s="42">
        <v>4</v>
      </c>
      <c r="I144" s="85">
        <v>0.4</v>
      </c>
    </row>
    <row r="145" spans="1:9" ht="47.25" x14ac:dyDescent="0.25">
      <c r="A145" s="42"/>
      <c r="B145" s="42"/>
      <c r="C145" s="42" t="s">
        <v>6</v>
      </c>
      <c r="D145" s="42" t="s">
        <v>279</v>
      </c>
      <c r="E145" s="42"/>
      <c r="F145" s="42" t="s">
        <v>280</v>
      </c>
      <c r="G145" s="42"/>
      <c r="H145" s="42">
        <v>4</v>
      </c>
      <c r="I145" s="85">
        <v>0.5</v>
      </c>
    </row>
    <row r="146" spans="1:9" x14ac:dyDescent="0.25">
      <c r="A146" s="7">
        <v>17</v>
      </c>
      <c r="B146" s="8" t="s">
        <v>254</v>
      </c>
      <c r="C146" s="7"/>
      <c r="D146" s="9"/>
      <c r="E146" s="7"/>
      <c r="F146" s="9"/>
      <c r="G146" s="9"/>
      <c r="H146" s="56"/>
      <c r="I146" s="18"/>
    </row>
    <row r="147" spans="1:9" ht="94.5" x14ac:dyDescent="0.25">
      <c r="A147" s="42"/>
      <c r="B147" s="42"/>
      <c r="C147" s="42" t="s">
        <v>6</v>
      </c>
      <c r="D147" s="42" t="s">
        <v>281</v>
      </c>
      <c r="E147" s="42"/>
      <c r="F147" s="42" t="s">
        <v>282</v>
      </c>
      <c r="G147" s="42"/>
      <c r="H147" s="56">
        <v>4</v>
      </c>
      <c r="I147" s="85">
        <v>0.8</v>
      </c>
    </row>
    <row r="148" spans="1:9" ht="63" x14ac:dyDescent="0.25">
      <c r="A148" s="42"/>
      <c r="B148" s="42"/>
      <c r="C148" s="42" t="s">
        <v>6</v>
      </c>
      <c r="D148" s="42" t="s">
        <v>283</v>
      </c>
      <c r="E148" s="42"/>
      <c r="F148" s="42" t="s">
        <v>284</v>
      </c>
      <c r="G148" s="42"/>
      <c r="H148" s="104">
        <v>4</v>
      </c>
      <c r="I148" s="85">
        <v>0.7</v>
      </c>
    </row>
    <row r="149" spans="1:9" ht="63" x14ac:dyDescent="0.25">
      <c r="A149" s="42"/>
      <c r="B149" s="42"/>
      <c r="C149" s="42" t="s">
        <v>6</v>
      </c>
      <c r="D149" s="42" t="s">
        <v>285</v>
      </c>
      <c r="E149" s="42"/>
      <c r="F149" s="42" t="s">
        <v>286</v>
      </c>
      <c r="G149" s="42"/>
      <c r="H149" s="60">
        <v>4</v>
      </c>
      <c r="I149" s="85">
        <v>0.7</v>
      </c>
    </row>
    <row r="150" spans="1:9" ht="63" x14ac:dyDescent="0.25">
      <c r="A150" s="42"/>
      <c r="B150" s="42"/>
      <c r="C150" s="42" t="s">
        <v>6</v>
      </c>
      <c r="D150" s="42" t="s">
        <v>287</v>
      </c>
      <c r="E150" s="42"/>
      <c r="F150" s="42" t="s">
        <v>288</v>
      </c>
      <c r="G150" s="42"/>
      <c r="H150" s="39">
        <v>4</v>
      </c>
      <c r="I150" s="85">
        <v>0.6</v>
      </c>
    </row>
    <row r="151" spans="1:9" ht="78.75" x14ac:dyDescent="0.25">
      <c r="A151" s="42"/>
      <c r="B151" s="42"/>
      <c r="C151" s="42" t="s">
        <v>6</v>
      </c>
      <c r="D151" s="42" t="s">
        <v>289</v>
      </c>
      <c r="E151" s="42"/>
      <c r="F151" s="42" t="s">
        <v>290</v>
      </c>
      <c r="G151" s="42"/>
      <c r="H151" s="104">
        <v>4</v>
      </c>
      <c r="I151" s="85">
        <v>0.8</v>
      </c>
    </row>
    <row r="152" spans="1:9" ht="78.75" x14ac:dyDescent="0.25">
      <c r="A152" s="42"/>
      <c r="B152" s="42"/>
      <c r="C152" s="42" t="s">
        <v>6</v>
      </c>
      <c r="D152" s="42" t="s">
        <v>291</v>
      </c>
      <c r="E152" s="42"/>
      <c r="F152" s="42" t="s">
        <v>292</v>
      </c>
      <c r="G152" s="42"/>
      <c r="H152" s="60">
        <v>4</v>
      </c>
      <c r="I152" s="85">
        <v>0.7</v>
      </c>
    </row>
    <row r="153" spans="1:9" x14ac:dyDescent="0.25">
      <c r="A153" s="14" t="s">
        <v>11</v>
      </c>
      <c r="B153" s="34" t="s">
        <v>134</v>
      </c>
      <c r="C153" s="34"/>
      <c r="D153" s="34"/>
      <c r="E153" s="34"/>
      <c r="F153" s="34"/>
      <c r="G153" s="34"/>
      <c r="H153" s="34"/>
      <c r="I153" s="19">
        <f>SUM(I154:I158)</f>
        <v>8</v>
      </c>
    </row>
    <row r="154" spans="1:9" s="13" customFormat="1" ht="63" x14ac:dyDescent="0.25">
      <c r="A154" s="7">
        <v>1</v>
      </c>
      <c r="B154" s="9" t="s">
        <v>135</v>
      </c>
      <c r="C154" s="7"/>
      <c r="D154" s="8"/>
      <c r="E154" s="7"/>
      <c r="F154" s="8"/>
      <c r="G154" s="9"/>
      <c r="H154" s="17"/>
      <c r="I154" s="17"/>
    </row>
    <row r="155" spans="1:9" ht="409.5" x14ac:dyDescent="0.25">
      <c r="A155" s="7"/>
      <c r="B155" s="8"/>
      <c r="C155" s="7" t="s">
        <v>6</v>
      </c>
      <c r="D155" s="8" t="s">
        <v>137</v>
      </c>
      <c r="E155" s="7"/>
      <c r="F155" s="9" t="s">
        <v>136</v>
      </c>
      <c r="G155" s="9"/>
      <c r="H155" s="17">
        <v>5</v>
      </c>
      <c r="I155" s="18">
        <v>2</v>
      </c>
    </row>
    <row r="156" spans="1:9" ht="409.5" x14ac:dyDescent="0.25">
      <c r="A156" s="7"/>
      <c r="B156" s="8"/>
      <c r="C156" s="7" t="s">
        <v>6</v>
      </c>
      <c r="D156" s="8" t="s">
        <v>138</v>
      </c>
      <c r="E156" s="7"/>
      <c r="F156" s="9" t="s">
        <v>136</v>
      </c>
      <c r="G156" s="9"/>
      <c r="H156" s="17">
        <v>5</v>
      </c>
      <c r="I156" s="18">
        <v>2</v>
      </c>
    </row>
    <row r="157" spans="1:9" ht="409.5" x14ac:dyDescent="0.25">
      <c r="A157" s="7"/>
      <c r="B157" s="8"/>
      <c r="C157" s="7" t="s">
        <v>6</v>
      </c>
      <c r="D157" s="8" t="s">
        <v>140</v>
      </c>
      <c r="E157" s="7"/>
      <c r="F157" s="9" t="s">
        <v>136</v>
      </c>
      <c r="G157" s="9"/>
      <c r="H157" s="17">
        <v>5</v>
      </c>
      <c r="I157" s="18">
        <v>2</v>
      </c>
    </row>
    <row r="158" spans="1:9" ht="409.5" x14ac:dyDescent="0.25">
      <c r="A158" s="7"/>
      <c r="B158" s="8"/>
      <c r="C158" s="7" t="s">
        <v>6</v>
      </c>
      <c r="D158" s="8" t="s">
        <v>139</v>
      </c>
      <c r="E158" s="7"/>
      <c r="F158" s="9" t="s">
        <v>136</v>
      </c>
      <c r="G158" s="9"/>
      <c r="H158" s="17">
        <v>5</v>
      </c>
      <c r="I158" s="18">
        <v>2</v>
      </c>
    </row>
    <row r="159" spans="1:9" x14ac:dyDescent="0.25">
      <c r="A159" s="14" t="s">
        <v>17</v>
      </c>
      <c r="B159" s="34" t="s">
        <v>130</v>
      </c>
      <c r="C159" s="34"/>
      <c r="D159" s="34"/>
      <c r="E159" s="34"/>
      <c r="F159" s="34"/>
      <c r="G159" s="34"/>
      <c r="H159" s="34"/>
      <c r="I159" s="19">
        <f>SUM(I160:I169)</f>
        <v>5</v>
      </c>
    </row>
    <row r="160" spans="1:9" s="13" customFormat="1" x14ac:dyDescent="0.25">
      <c r="A160" s="8">
        <v>1</v>
      </c>
      <c r="B160" s="8" t="s">
        <v>125</v>
      </c>
      <c r="C160" s="8"/>
      <c r="D160" s="8"/>
      <c r="E160" s="8"/>
      <c r="F160" s="8"/>
      <c r="G160" s="8"/>
      <c r="H160" s="8"/>
      <c r="I160" s="8"/>
    </row>
    <row r="161" spans="1:9" ht="31.5" x14ac:dyDescent="0.25">
      <c r="A161" s="8"/>
      <c r="B161" s="8"/>
      <c r="C161" s="7" t="s">
        <v>6</v>
      </c>
      <c r="D161" s="66" t="s">
        <v>126</v>
      </c>
      <c r="E161" s="7"/>
      <c r="F161" s="7"/>
      <c r="G161" s="7"/>
      <c r="H161" s="7">
        <v>1</v>
      </c>
      <c r="I161" s="7">
        <v>0.5</v>
      </c>
    </row>
    <row r="162" spans="1:9" ht="31.5" x14ac:dyDescent="0.25">
      <c r="A162" s="8"/>
      <c r="B162" s="8"/>
      <c r="C162" s="7" t="s">
        <v>6</v>
      </c>
      <c r="D162" s="66" t="s">
        <v>127</v>
      </c>
      <c r="E162" s="7"/>
      <c r="F162" s="7"/>
      <c r="G162" s="7"/>
      <c r="H162" s="7">
        <v>1</v>
      </c>
      <c r="I162" s="7">
        <v>0.5</v>
      </c>
    </row>
    <row r="163" spans="1:9" ht="31.5" x14ac:dyDescent="0.25">
      <c r="A163" s="8"/>
      <c r="B163" s="8"/>
      <c r="C163" s="7" t="s">
        <v>6</v>
      </c>
      <c r="D163" s="66" t="s">
        <v>128</v>
      </c>
      <c r="E163" s="7"/>
      <c r="F163" s="7"/>
      <c r="G163" s="7"/>
      <c r="H163" s="7">
        <v>1</v>
      </c>
      <c r="I163" s="7">
        <v>0.5</v>
      </c>
    </row>
    <row r="164" spans="1:9" ht="31.5" x14ac:dyDescent="0.25">
      <c r="A164" s="8"/>
      <c r="B164" s="8"/>
      <c r="C164" s="7" t="s">
        <v>6</v>
      </c>
      <c r="D164" s="66" t="s">
        <v>129</v>
      </c>
      <c r="E164" s="7"/>
      <c r="F164" s="7"/>
      <c r="G164" s="7"/>
      <c r="H164" s="7">
        <v>1</v>
      </c>
      <c r="I164" s="7">
        <v>0.5</v>
      </c>
    </row>
    <row r="165" spans="1:9" x14ac:dyDescent="0.25">
      <c r="A165" s="8">
        <v>2</v>
      </c>
      <c r="B165" s="8" t="s">
        <v>131</v>
      </c>
      <c r="C165" s="7"/>
      <c r="D165" s="66"/>
      <c r="E165" s="7"/>
      <c r="F165" s="7"/>
      <c r="G165" s="7"/>
      <c r="H165" s="7"/>
      <c r="I165" s="7"/>
    </row>
    <row r="166" spans="1:9" ht="47.25" x14ac:dyDescent="0.25">
      <c r="A166" s="8"/>
      <c r="B166" s="8"/>
      <c r="C166" s="7" t="s">
        <v>6</v>
      </c>
      <c r="D166" s="66" t="s">
        <v>133</v>
      </c>
      <c r="E166" s="7"/>
      <c r="F166" s="66" t="s">
        <v>132</v>
      </c>
      <c r="G166" s="7"/>
      <c r="H166" s="7">
        <v>1</v>
      </c>
      <c r="I166" s="7">
        <v>0.75</v>
      </c>
    </row>
    <row r="167" spans="1:9" ht="47.25" x14ac:dyDescent="0.25">
      <c r="A167" s="8"/>
      <c r="B167" s="8"/>
      <c r="C167" s="7" t="s">
        <v>6</v>
      </c>
      <c r="D167" s="66" t="s">
        <v>133</v>
      </c>
      <c r="E167" s="7"/>
      <c r="F167" s="66" t="s">
        <v>132</v>
      </c>
      <c r="G167" s="7"/>
      <c r="H167" s="7">
        <v>1</v>
      </c>
      <c r="I167" s="7">
        <v>0.75</v>
      </c>
    </row>
    <row r="168" spans="1:9" ht="47.25" x14ac:dyDescent="0.25">
      <c r="A168" s="8"/>
      <c r="B168" s="8"/>
      <c r="C168" s="7" t="s">
        <v>6</v>
      </c>
      <c r="D168" s="66" t="s">
        <v>133</v>
      </c>
      <c r="E168" s="7"/>
      <c r="F168" s="66" t="s">
        <v>132</v>
      </c>
      <c r="G168" s="7"/>
      <c r="H168" s="7">
        <v>1</v>
      </c>
      <c r="I168" s="7">
        <v>0.75</v>
      </c>
    </row>
    <row r="169" spans="1:9" ht="47.25" x14ac:dyDescent="0.25">
      <c r="A169" s="8"/>
      <c r="B169" s="8"/>
      <c r="C169" s="7" t="s">
        <v>6</v>
      </c>
      <c r="D169" s="66" t="s">
        <v>133</v>
      </c>
      <c r="E169" s="7"/>
      <c r="F169" s="66" t="s">
        <v>132</v>
      </c>
      <c r="G169" s="7"/>
      <c r="H169" s="7">
        <v>1</v>
      </c>
      <c r="I169" s="7">
        <v>0.75</v>
      </c>
    </row>
    <row r="170" spans="1:9" x14ac:dyDescent="0.25">
      <c r="A170" s="20"/>
      <c r="B170" s="21"/>
      <c r="C170" s="22"/>
      <c r="D170" s="23"/>
      <c r="E170" s="22"/>
      <c r="F170" s="23"/>
      <c r="G170" s="11" t="s">
        <v>18</v>
      </c>
      <c r="H170" s="11"/>
      <c r="I170" s="24">
        <f>I159+I153+I45+I6</f>
        <v>100</v>
      </c>
    </row>
    <row r="171" spans="1:9" ht="30.75" customHeight="1" x14ac:dyDescent="0.25"/>
  </sheetData>
  <mergeCells count="4">
    <mergeCell ref="B6:H6"/>
    <mergeCell ref="B45:H45"/>
    <mergeCell ref="B153:H153"/>
    <mergeCell ref="B159:H159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29AA-F977-409A-B984-5D6A5B932514}">
  <dimension ref="A1:G7"/>
  <sheetViews>
    <sheetView topLeftCell="A4" workbookViewId="0">
      <selection activeCell="K4" sqref="K4"/>
    </sheetView>
  </sheetViews>
  <sheetFormatPr defaultRowHeight="15.75" x14ac:dyDescent="0.25"/>
  <sheetData>
    <row r="1" spans="1:7" ht="63" x14ac:dyDescent="0.25">
      <c r="A1" s="46" t="s">
        <v>47</v>
      </c>
      <c r="B1" s="46" t="s">
        <v>48</v>
      </c>
      <c r="C1" s="46" t="s">
        <v>49</v>
      </c>
      <c r="D1" s="46" t="s">
        <v>50</v>
      </c>
      <c r="E1" s="46" t="s">
        <v>51</v>
      </c>
      <c r="F1" s="46" t="s">
        <v>52</v>
      </c>
      <c r="G1" s="46" t="s">
        <v>53</v>
      </c>
    </row>
    <row r="2" spans="1:7" ht="126" x14ac:dyDescent="0.25">
      <c r="A2" s="47">
        <v>2</v>
      </c>
      <c r="B2" s="47" t="s">
        <v>44</v>
      </c>
      <c r="C2" s="47" t="s">
        <v>6</v>
      </c>
      <c r="D2" s="47" t="s">
        <v>54</v>
      </c>
      <c r="E2" s="47" t="s">
        <v>55</v>
      </c>
      <c r="F2" s="47" t="s">
        <v>56</v>
      </c>
      <c r="G2" s="47">
        <v>1.5</v>
      </c>
    </row>
    <row r="3" spans="1:7" ht="157.5" x14ac:dyDescent="0.25">
      <c r="A3" s="47"/>
      <c r="B3" s="47"/>
      <c r="C3" s="47" t="s">
        <v>6</v>
      </c>
      <c r="D3" s="47" t="s">
        <v>57</v>
      </c>
      <c r="E3" s="47" t="s">
        <v>58</v>
      </c>
      <c r="F3" s="47" t="s">
        <v>59</v>
      </c>
      <c r="G3" s="47">
        <v>0.75</v>
      </c>
    </row>
    <row r="4" spans="1:7" ht="110.25" x14ac:dyDescent="0.25">
      <c r="A4" s="47"/>
      <c r="B4" s="47"/>
      <c r="C4" s="47" t="s">
        <v>6</v>
      </c>
      <c r="D4" s="47" t="s">
        <v>60</v>
      </c>
      <c r="E4" s="47" t="s">
        <v>61</v>
      </c>
      <c r="F4" s="47" t="s">
        <v>56</v>
      </c>
      <c r="G4" s="47">
        <v>1.5</v>
      </c>
    </row>
    <row r="5" spans="1:7" ht="94.5" x14ac:dyDescent="0.25">
      <c r="A5" s="47"/>
      <c r="B5" s="47"/>
      <c r="C5" s="47" t="s">
        <v>6</v>
      </c>
      <c r="D5" s="47" t="s">
        <v>62</v>
      </c>
      <c r="E5" s="47" t="s">
        <v>63</v>
      </c>
      <c r="F5" s="47" t="s">
        <v>59</v>
      </c>
      <c r="G5" s="47">
        <v>1</v>
      </c>
    </row>
    <row r="6" spans="1:7" ht="126" x14ac:dyDescent="0.25">
      <c r="A6" s="47"/>
      <c r="B6" s="47"/>
      <c r="C6" s="47" t="s">
        <v>6</v>
      </c>
      <c r="D6" s="47" t="s">
        <v>64</v>
      </c>
      <c r="E6" s="47" t="s">
        <v>65</v>
      </c>
      <c r="F6" s="47" t="s">
        <v>59</v>
      </c>
      <c r="G6" s="47">
        <v>1</v>
      </c>
    </row>
    <row r="7" spans="1:7" ht="94.5" x14ac:dyDescent="0.25">
      <c r="A7" s="47"/>
      <c r="B7" s="47"/>
      <c r="C7" s="47" t="s">
        <v>6</v>
      </c>
      <c r="D7" s="47" t="s">
        <v>66</v>
      </c>
      <c r="E7" s="47" t="s">
        <v>67</v>
      </c>
      <c r="F7" s="47" t="s">
        <v>59</v>
      </c>
      <c r="G7" s="47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2" sqref="A2:B8"/>
    </sheetView>
  </sheetViews>
  <sheetFormatPr defaultColWidth="11" defaultRowHeight="15.75" x14ac:dyDescent="0.25"/>
  <cols>
    <col min="1" max="1" width="11" style="5"/>
    <col min="2" max="2" width="56.875" style="4" customWidth="1"/>
    <col min="3" max="16384" width="11" style="5"/>
  </cols>
  <sheetData>
    <row r="1" spans="1:2" ht="27.95" customHeight="1" x14ac:dyDescent="0.25">
      <c r="A1" s="35" t="s">
        <v>15</v>
      </c>
      <c r="B1" s="35"/>
    </row>
    <row r="2" spans="1:2" x14ac:dyDescent="0.25">
      <c r="A2" s="25">
        <v>1</v>
      </c>
      <c r="B2" s="30" t="s">
        <v>96</v>
      </c>
    </row>
    <row r="3" spans="1:2" x14ac:dyDescent="0.25">
      <c r="A3" s="25">
        <v>2</v>
      </c>
      <c r="B3" s="30" t="s">
        <v>97</v>
      </c>
    </row>
    <row r="4" spans="1:2" x14ac:dyDescent="0.25">
      <c r="A4" s="25">
        <v>3</v>
      </c>
      <c r="B4" s="48" t="s">
        <v>98</v>
      </c>
    </row>
    <row r="5" spans="1:2" x14ac:dyDescent="0.25">
      <c r="A5" s="25">
        <v>4</v>
      </c>
      <c r="B5" s="30" t="s">
        <v>99</v>
      </c>
    </row>
    <row r="6" spans="1:2" x14ac:dyDescent="0.25">
      <c r="A6" s="25">
        <v>5</v>
      </c>
      <c r="B6" s="30" t="s">
        <v>100</v>
      </c>
    </row>
    <row r="7" spans="1:2" x14ac:dyDescent="0.25">
      <c r="A7" s="25">
        <v>6</v>
      </c>
      <c r="B7" s="48" t="s">
        <v>101</v>
      </c>
    </row>
    <row r="8" spans="1:2" x14ac:dyDescent="0.25">
      <c r="A8" s="25">
        <v>7</v>
      </c>
      <c r="B8" s="30" t="s">
        <v>102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25</vt:i4>
      </vt:variant>
    </vt:vector>
  </HeadingPairs>
  <TitlesOfParts>
    <vt:vector size="28" baseType="lpstr">
      <vt:lpstr>Критерии оценки</vt:lpstr>
      <vt:lpstr>Лист2</vt:lpstr>
      <vt:lpstr>Перечень профессиональных задач</vt:lpstr>
      <vt:lpstr>'Критерии оценки'!_1livtg6qggri</vt:lpstr>
      <vt:lpstr>'Критерии оценки'!_27tkfxbkcv55</vt:lpstr>
      <vt:lpstr>'Критерии оценки'!_2bq3ttlknrz6</vt:lpstr>
      <vt:lpstr>'Критерии оценки'!_3v0ufveuzorm</vt:lpstr>
      <vt:lpstr>'Критерии оценки'!_4vee4zjgmgv1</vt:lpstr>
      <vt:lpstr>'Критерии оценки'!_7rslhrryyt06</vt:lpstr>
      <vt:lpstr>'Критерии оценки'!_89mx119h3rng</vt:lpstr>
      <vt:lpstr>'Критерии оценки'!_8zue4x2ncv59</vt:lpstr>
      <vt:lpstr>'Критерии оценки'!_9r3dh0tqvnny</vt:lpstr>
      <vt:lpstr>'Критерии оценки'!_asusgf1xjee3</vt:lpstr>
      <vt:lpstr>'Критерии оценки'!_azvco86an92c</vt:lpstr>
      <vt:lpstr>'Критерии оценки'!_bxq1pqgite3f</vt:lpstr>
      <vt:lpstr>'Критерии оценки'!_diwb194xsx7p</vt:lpstr>
      <vt:lpstr>'Критерии оценки'!_fjksklds0av7</vt:lpstr>
      <vt:lpstr>'Критерии оценки'!_h6d2rntjccnf</vt:lpstr>
      <vt:lpstr>'Критерии оценки'!_hbh1n7pi4ddo</vt:lpstr>
      <vt:lpstr>'Критерии оценки'!_k2sm3mz5y5h</vt:lpstr>
      <vt:lpstr>'Критерии оценки'!_kyeh999nsh04</vt:lpstr>
      <vt:lpstr>'Критерии оценки'!_qi1d8w5gw9</vt:lpstr>
      <vt:lpstr>'Критерии оценки'!_qwim4dh4azp5</vt:lpstr>
      <vt:lpstr>'Критерии оценки'!_upv8nqeyfd6t</vt:lpstr>
      <vt:lpstr>'Критерии оценки'!_w06yohdrsak8</vt:lpstr>
      <vt:lpstr>'Критерии оценки'!_x05zgbhykyhx</vt:lpstr>
      <vt:lpstr>'Критерии оценки'!_x9q8uxduj91w</vt:lpstr>
      <vt:lpstr>'Критерии оценки'!_xazgulhd8t9x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Наталья Викторовна Кривоносова</cp:lastModifiedBy>
  <dcterms:created xsi:type="dcterms:W3CDTF">2022-11-09T22:53:43Z</dcterms:created>
  <dcterms:modified xsi:type="dcterms:W3CDTF">2026-04-02T09:37:39Z</dcterms:modified>
</cp:coreProperties>
</file>